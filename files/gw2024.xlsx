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교육과정 운영 편성\교육과정위원회\"/>
    </mc:Choice>
  </mc:AlternateContent>
  <xr:revisionPtr revIDLastSave="0" documentId="13_ncr:1_{BA10FED2-C4CC-45B8-B1EC-86C031A482BE}" xr6:coauthVersionLast="36" xr6:coauthVersionMax="36" xr10:uidLastSave="{00000000-0000-0000-0000-000000000000}"/>
  <bookViews>
    <workbookView xWindow="-108" yWindow="-108" windowWidth="19428" windowHeight="10428" activeTab="1" xr2:uid="{00000000-000D-0000-FFFF-FFFF00000000}"/>
  </bookViews>
  <sheets>
    <sheet name="배당표 작성 요령" sheetId="5" r:id="rId1"/>
    <sheet name="2024입학생" sheetId="1" r:id="rId2"/>
    <sheet name="과목" sheetId="3" state="hidden" r:id="rId3"/>
  </sheets>
  <definedNames>
    <definedName name="_xlnm.Print_Area" localSheetId="1">'2024입학생'!$A$1:$P$69</definedName>
    <definedName name="공통">표7[공통]</definedName>
    <definedName name="과목유형">표1[과목유형]</definedName>
    <definedName name="비고">표10[비고]</definedName>
    <definedName name="일반">표8[일반]</definedName>
    <definedName name="진로">표9[진로]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" i="1" l="1"/>
  <c r="J59" i="1"/>
  <c r="K59" i="1"/>
  <c r="L59" i="1"/>
  <c r="M59" i="1"/>
  <c r="L61" i="1" l="1"/>
  <c r="J61" i="1"/>
  <c r="H57" i="1" l="1"/>
  <c r="I57" i="1"/>
  <c r="I59" i="1" s="1"/>
  <c r="P57" i="1"/>
  <c r="H59" i="1" l="1"/>
  <c r="H61" i="1" s="1"/>
  <c r="O61" i="1" s="1"/>
  <c r="O57" i="1"/>
  <c r="O59" i="1" l="1"/>
</calcChain>
</file>

<file path=xl/sharedStrings.xml><?xml version="1.0" encoding="utf-8"?>
<sst xmlns="http://schemas.openxmlformats.org/spreadsheetml/2006/main" count="290" uniqueCount="218">
  <si>
    <t>학년별 총 이수 학점</t>
    <phoneticPr fontId="1" type="noConversion"/>
  </si>
  <si>
    <t>학기별 총 이수 학점</t>
    <phoneticPr fontId="1" type="noConversion"/>
  </si>
  <si>
    <t>창의적 체험활동</t>
    <phoneticPr fontId="1" type="noConversion"/>
  </si>
  <si>
    <t>과 학</t>
    <phoneticPr fontId="1" type="noConversion"/>
  </si>
  <si>
    <t>탐구</t>
    <phoneticPr fontId="1" type="noConversion"/>
  </si>
  <si>
    <t>영 어</t>
    <phoneticPr fontId="1" type="noConversion"/>
  </si>
  <si>
    <t>수 학</t>
    <phoneticPr fontId="1" type="noConversion"/>
  </si>
  <si>
    <t>국 어</t>
    <phoneticPr fontId="1" type="noConversion"/>
  </si>
  <si>
    <t>기초</t>
    <phoneticPr fontId="1" type="noConversion"/>
  </si>
  <si>
    <t xml:space="preserve">3
학년선택 </t>
    <phoneticPr fontId="1" type="noConversion"/>
  </si>
  <si>
    <t>제2외국어/한문</t>
    <phoneticPr fontId="1" type="noConversion"/>
  </si>
  <si>
    <t>기 초</t>
    <phoneticPr fontId="1" type="noConversion"/>
  </si>
  <si>
    <t>예 술</t>
    <phoneticPr fontId="1" type="noConversion"/>
  </si>
  <si>
    <t>체 육</t>
    <phoneticPr fontId="1" type="noConversion"/>
  </si>
  <si>
    <t>체육·
예술</t>
    <phoneticPr fontId="1" type="noConversion"/>
  </si>
  <si>
    <t>통합과학</t>
  </si>
  <si>
    <t>공통</t>
  </si>
  <si>
    <t>통합사회</t>
  </si>
  <si>
    <t>한국사</t>
  </si>
  <si>
    <t>한국사</t>
    <phoneticPr fontId="1" type="noConversion"/>
  </si>
  <si>
    <t>영어</t>
  </si>
  <si>
    <t>수학</t>
  </si>
  <si>
    <t>국어</t>
  </si>
  <si>
    <t>학교지정</t>
    <phoneticPr fontId="1" type="noConversion"/>
  </si>
  <si>
    <t>2학기</t>
    <phoneticPr fontId="1" type="noConversion"/>
  </si>
  <si>
    <t>1학기</t>
    <phoneticPr fontId="1" type="noConversion"/>
  </si>
  <si>
    <t>필수
이수
학점</t>
    <phoneticPr fontId="1" type="noConversion"/>
  </si>
  <si>
    <t>이수
학점</t>
    <phoneticPr fontId="1" type="noConversion"/>
  </si>
  <si>
    <t>비고</t>
    <phoneticPr fontId="1" type="noConversion"/>
  </si>
  <si>
    <t>3학년</t>
  </si>
  <si>
    <t>2학년</t>
  </si>
  <si>
    <t>1학년</t>
    <phoneticPr fontId="1" type="noConversion"/>
  </si>
  <si>
    <t>운영
학점</t>
    <phoneticPr fontId="1" type="noConversion"/>
  </si>
  <si>
    <t>기준
학점</t>
    <phoneticPr fontId="1" type="noConversion"/>
  </si>
  <si>
    <t>과목유형</t>
    <phoneticPr fontId="1" type="noConversion"/>
  </si>
  <si>
    <t>교과(군)</t>
    <phoneticPr fontId="1" type="noConversion"/>
  </si>
  <si>
    <t>교과
영역</t>
    <phoneticPr fontId="1" type="noConversion"/>
  </si>
  <si>
    <t>구분</t>
    <phoneticPr fontId="1" type="noConversion"/>
  </si>
  <si>
    <t>공통</t>
    <phoneticPr fontId="1" type="noConversion"/>
  </si>
  <si>
    <t>일반</t>
    <phoneticPr fontId="1" type="noConversion"/>
  </si>
  <si>
    <t>진로</t>
    <phoneticPr fontId="1" type="noConversion"/>
  </si>
  <si>
    <t>국어</t>
    <phoneticPr fontId="1" type="noConversion"/>
  </si>
  <si>
    <t>화법과 작문</t>
    <phoneticPr fontId="1" type="noConversion"/>
  </si>
  <si>
    <t>실용 국어</t>
    <phoneticPr fontId="1" type="noConversion"/>
  </si>
  <si>
    <r>
      <t>전문</t>
    </r>
    <r>
      <rPr>
        <sz val="11"/>
        <rFont val="맑은 고딕"/>
        <family val="3"/>
        <charset val="129"/>
      </rPr>
      <t>Ⅰ</t>
    </r>
    <phoneticPr fontId="1" type="noConversion"/>
  </si>
  <si>
    <t>수학</t>
    <phoneticPr fontId="1" type="noConversion"/>
  </si>
  <si>
    <t>독서</t>
  </si>
  <si>
    <t>심화 국어</t>
    <phoneticPr fontId="1" type="noConversion"/>
  </si>
  <si>
    <t>전문Ⅱ</t>
    <phoneticPr fontId="1" type="noConversion"/>
  </si>
  <si>
    <t>영어</t>
    <phoneticPr fontId="1" type="noConversion"/>
  </si>
  <si>
    <t>언어와 매체</t>
    <phoneticPr fontId="1" type="noConversion"/>
  </si>
  <si>
    <t>고전 읽기</t>
    <phoneticPr fontId="1" type="noConversion"/>
  </si>
  <si>
    <t>공동</t>
    <phoneticPr fontId="1" type="noConversion"/>
  </si>
  <si>
    <t>문학</t>
    <phoneticPr fontId="1" type="noConversion"/>
  </si>
  <si>
    <t>기본 수학</t>
    <phoneticPr fontId="1" type="noConversion"/>
  </si>
  <si>
    <t>학교 밖</t>
    <phoneticPr fontId="1" type="noConversion"/>
  </si>
  <si>
    <t>수학Ⅰ</t>
    <phoneticPr fontId="1" type="noConversion"/>
  </si>
  <si>
    <t>실용 수학</t>
    <phoneticPr fontId="1" type="noConversion"/>
  </si>
  <si>
    <t>통합과학</t>
    <phoneticPr fontId="1" type="noConversion"/>
  </si>
  <si>
    <t>수학Ⅱ</t>
    <phoneticPr fontId="1" type="noConversion"/>
  </si>
  <si>
    <t>인공지능 수학</t>
    <phoneticPr fontId="1" type="noConversion"/>
  </si>
  <si>
    <t>과학탐구실험</t>
  </si>
  <si>
    <t>미적분</t>
    <phoneticPr fontId="1" type="noConversion"/>
  </si>
  <si>
    <t>기하</t>
    <phoneticPr fontId="1" type="noConversion"/>
  </si>
  <si>
    <t>확률과 통계</t>
    <phoneticPr fontId="1" type="noConversion"/>
  </si>
  <si>
    <t>경제 수학</t>
    <phoneticPr fontId="1" type="noConversion"/>
  </si>
  <si>
    <t>영어 회화</t>
    <phoneticPr fontId="1" type="noConversion"/>
  </si>
  <si>
    <t>수학과제 탐구</t>
    <phoneticPr fontId="1" type="noConversion"/>
  </si>
  <si>
    <t>영어Ⅰ</t>
    <phoneticPr fontId="1" type="noConversion"/>
  </si>
  <si>
    <t>기본 영어</t>
    <phoneticPr fontId="1" type="noConversion"/>
  </si>
  <si>
    <t xml:space="preserve">영어Ⅱ </t>
    <phoneticPr fontId="1" type="noConversion"/>
  </si>
  <si>
    <t>실용 영어</t>
    <phoneticPr fontId="1" type="noConversion"/>
  </si>
  <si>
    <t>영어 독해와 작문</t>
    <phoneticPr fontId="1" type="noConversion"/>
  </si>
  <si>
    <t>영어권 문화</t>
    <phoneticPr fontId="1" type="noConversion"/>
  </si>
  <si>
    <t>한국지리</t>
    <phoneticPr fontId="1" type="noConversion"/>
  </si>
  <si>
    <t>진로 영어</t>
    <phoneticPr fontId="1" type="noConversion"/>
  </si>
  <si>
    <t>세계지리</t>
    <phoneticPr fontId="1" type="noConversion"/>
  </si>
  <si>
    <t>영미 문학 읽기</t>
    <phoneticPr fontId="1" type="noConversion"/>
  </si>
  <si>
    <t>세계사</t>
    <phoneticPr fontId="1" type="noConversion"/>
  </si>
  <si>
    <t>여행지리</t>
    <phoneticPr fontId="1" type="noConversion"/>
  </si>
  <si>
    <t>동아시아사</t>
    <phoneticPr fontId="1" type="noConversion"/>
  </si>
  <si>
    <t>사회문제 탐구</t>
    <phoneticPr fontId="1" type="noConversion"/>
  </si>
  <si>
    <t>경제</t>
    <phoneticPr fontId="1" type="noConversion"/>
  </si>
  <si>
    <t>고전과 윤리</t>
  </si>
  <si>
    <t>정치와 법</t>
    <phoneticPr fontId="1" type="noConversion"/>
  </si>
  <si>
    <t xml:space="preserve">물리학Ⅱ </t>
    <phoneticPr fontId="1" type="noConversion"/>
  </si>
  <si>
    <r>
      <t>사회</t>
    </r>
    <r>
      <rPr>
        <sz val="11"/>
        <rFont val="맑은 고딕"/>
        <family val="3"/>
        <charset val="128"/>
        <scheme val="minor"/>
      </rPr>
      <t>･</t>
    </r>
    <r>
      <rPr>
        <sz val="11"/>
        <rFont val="맑은 고딕"/>
        <family val="3"/>
        <charset val="129"/>
        <scheme val="minor"/>
      </rPr>
      <t>문화</t>
    </r>
    <phoneticPr fontId="1" type="noConversion"/>
  </si>
  <si>
    <t>화학Ⅱ</t>
    <phoneticPr fontId="1" type="noConversion"/>
  </si>
  <si>
    <t>생활과 윤리</t>
    <phoneticPr fontId="1" type="noConversion"/>
  </si>
  <si>
    <t>생명과학Ⅱ</t>
    <phoneticPr fontId="1" type="noConversion"/>
  </si>
  <si>
    <t>윤리와 사상</t>
    <phoneticPr fontId="1" type="noConversion"/>
  </si>
  <si>
    <t>지구과학Ⅱ</t>
    <phoneticPr fontId="1" type="noConversion"/>
  </si>
  <si>
    <t>물리학Ⅰ</t>
    <phoneticPr fontId="1" type="noConversion"/>
  </si>
  <si>
    <t>과학사</t>
    <phoneticPr fontId="1" type="noConversion"/>
  </si>
  <si>
    <t>화학Ⅰ</t>
    <phoneticPr fontId="1" type="noConversion"/>
  </si>
  <si>
    <t>생활과 과학</t>
    <phoneticPr fontId="1" type="noConversion"/>
  </si>
  <si>
    <t>생명과학Ⅰ</t>
    <phoneticPr fontId="1" type="noConversion"/>
  </si>
  <si>
    <t>융합과학</t>
    <phoneticPr fontId="1" type="noConversion"/>
  </si>
  <si>
    <t>지구과학Ⅰ</t>
    <phoneticPr fontId="1" type="noConversion"/>
  </si>
  <si>
    <t>스포츠 생활</t>
  </si>
  <si>
    <t>체육</t>
    <phoneticPr fontId="1" type="noConversion"/>
  </si>
  <si>
    <t>체육 탐구</t>
    <phoneticPr fontId="1" type="noConversion"/>
  </si>
  <si>
    <t>운동과 건강</t>
    <phoneticPr fontId="1" type="noConversion"/>
  </si>
  <si>
    <t>음악 연주</t>
  </si>
  <si>
    <t>음악</t>
    <phoneticPr fontId="1" type="noConversion"/>
  </si>
  <si>
    <t>음악 감상과 비평</t>
    <phoneticPr fontId="1" type="noConversion"/>
  </si>
  <si>
    <t>미술</t>
    <phoneticPr fontId="1" type="noConversion"/>
  </si>
  <si>
    <t>미술 창작</t>
    <phoneticPr fontId="1" type="noConversion"/>
  </si>
  <si>
    <t>연극</t>
    <phoneticPr fontId="1" type="noConversion"/>
  </si>
  <si>
    <t>미술 감상과 비평</t>
    <phoneticPr fontId="1" type="noConversion"/>
  </si>
  <si>
    <r>
      <t>기술</t>
    </r>
    <r>
      <rPr>
        <sz val="11"/>
        <rFont val="맑은 고딕"/>
        <family val="3"/>
        <charset val="128"/>
        <scheme val="minor"/>
      </rPr>
      <t>･</t>
    </r>
    <r>
      <rPr>
        <sz val="11"/>
        <rFont val="맑은 고딕"/>
        <family val="3"/>
        <charset val="129"/>
        <scheme val="minor"/>
      </rPr>
      <t>가정</t>
    </r>
    <phoneticPr fontId="1" type="noConversion"/>
  </si>
  <si>
    <t xml:space="preserve">농업 생명 과학 </t>
    <phoneticPr fontId="1" type="noConversion"/>
  </si>
  <si>
    <t>정보</t>
    <phoneticPr fontId="1" type="noConversion"/>
  </si>
  <si>
    <t>공학 일반</t>
    <phoneticPr fontId="1" type="noConversion"/>
  </si>
  <si>
    <t>독일어Ⅰ</t>
  </si>
  <si>
    <t xml:space="preserve">창의 경영 </t>
    <phoneticPr fontId="1" type="noConversion"/>
  </si>
  <si>
    <t>일본어Ⅰ</t>
  </si>
  <si>
    <t>해양 문화와 기술</t>
    <phoneticPr fontId="1" type="noConversion"/>
  </si>
  <si>
    <t>프랑스어Ⅰ</t>
  </si>
  <si>
    <t>가정과학</t>
    <phoneticPr fontId="1" type="noConversion"/>
  </si>
  <si>
    <t>러시아어Ⅰ</t>
  </si>
  <si>
    <t>지식 재산 일반</t>
  </si>
  <si>
    <t>스페인어Ⅰ</t>
  </si>
  <si>
    <t>인공지능 기초</t>
  </si>
  <si>
    <t>아랍어Ⅰ</t>
  </si>
  <si>
    <t>독일어Ⅱ</t>
  </si>
  <si>
    <t>중국어Ⅰ</t>
  </si>
  <si>
    <t>일본어Ⅱ</t>
  </si>
  <si>
    <t>베트남어Ⅰ</t>
  </si>
  <si>
    <t>프랑스어Ⅱ</t>
  </si>
  <si>
    <t>한문Ⅰ</t>
  </si>
  <si>
    <t>러시아어Ⅱ</t>
  </si>
  <si>
    <t>철학</t>
    <phoneticPr fontId="1" type="noConversion"/>
  </si>
  <si>
    <t>스페인어Ⅱ</t>
  </si>
  <si>
    <t>논리학</t>
    <phoneticPr fontId="1" type="noConversion"/>
  </si>
  <si>
    <t>아랍어Ⅱ</t>
  </si>
  <si>
    <t>심리학</t>
    <phoneticPr fontId="1" type="noConversion"/>
  </si>
  <si>
    <t>중국어Ⅱ</t>
  </si>
  <si>
    <t>교육학</t>
    <phoneticPr fontId="1" type="noConversion"/>
  </si>
  <si>
    <t>베트남어Ⅱ</t>
  </si>
  <si>
    <t>종교학</t>
    <phoneticPr fontId="1" type="noConversion"/>
  </si>
  <si>
    <t>한문Ⅱ</t>
  </si>
  <si>
    <t>진로와 직업</t>
    <phoneticPr fontId="1" type="noConversion"/>
  </si>
  <si>
    <t>보건</t>
    <phoneticPr fontId="1" type="noConversion"/>
  </si>
  <si>
    <t>환경</t>
    <phoneticPr fontId="1" type="noConversion"/>
  </si>
  <si>
    <t>실용 경제</t>
    <phoneticPr fontId="1" type="noConversion"/>
  </si>
  <si>
    <t>논술</t>
  </si>
  <si>
    <t>생활·
교양</t>
    <phoneticPr fontId="1" type="noConversion"/>
  </si>
  <si>
    <t>1)과목유형</t>
    <phoneticPr fontId="1" type="noConversion"/>
  </si>
  <si>
    <t>2)세부 교과목</t>
    <phoneticPr fontId="1" type="noConversion"/>
  </si>
  <si>
    <t>3)비고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</si>
  <si>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</si>
  <si>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</si>
  <si>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</si>
  <si>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일반</t>
  </si>
  <si>
    <t>기술·가정/한문/교양</t>
    <phoneticPr fontId="1" type="noConversion"/>
  </si>
  <si>
    <t>진로</t>
  </si>
  <si>
    <t>문학</t>
  </si>
  <si>
    <t>수학Ⅰ</t>
  </si>
  <si>
    <t>수학Ⅱ</t>
  </si>
  <si>
    <t>영어Ⅰ</t>
  </si>
  <si>
    <t xml:space="preserve">영어Ⅱ </t>
  </si>
  <si>
    <t>과학탐구실험</t>
    <phoneticPr fontId="1" type="noConversion"/>
  </si>
  <si>
    <t>체육</t>
    <phoneticPr fontId="1" type="noConversion"/>
  </si>
  <si>
    <t>운동과 건강</t>
    <phoneticPr fontId="1" type="noConversion"/>
  </si>
  <si>
    <t>음악</t>
    <phoneticPr fontId="1" type="noConversion"/>
  </si>
  <si>
    <t>미술</t>
    <phoneticPr fontId="1" type="noConversion"/>
  </si>
  <si>
    <t>진로와 직업</t>
  </si>
  <si>
    <t>[3]</t>
    <phoneticPr fontId="1" type="noConversion"/>
  </si>
  <si>
    <t>교차이수</t>
    <phoneticPr fontId="1" type="noConversion"/>
  </si>
  <si>
    <t>한국지리</t>
    <phoneticPr fontId="1" type="noConversion"/>
  </si>
  <si>
    <t>동아시아사</t>
    <phoneticPr fontId="1" type="noConversion"/>
  </si>
  <si>
    <t>물리학Ⅰ</t>
  </si>
  <si>
    <t>화학Ⅰ</t>
  </si>
  <si>
    <t>생명과학Ⅰ</t>
  </si>
  <si>
    <t>지구과학Ⅰ</t>
  </si>
  <si>
    <t>3
(택1)</t>
    <phoneticPr fontId="1" type="noConversion"/>
  </si>
  <si>
    <t>진로</t>
    <phoneticPr fontId="1" type="noConversion"/>
  </si>
  <si>
    <t>화법과 작문</t>
  </si>
  <si>
    <t>언어와 매체</t>
  </si>
  <si>
    <t>확률과 통계</t>
  </si>
  <si>
    <t>미적분</t>
  </si>
  <si>
    <t>화학Ⅱ</t>
  </si>
  <si>
    <t>생명과학Ⅱ</t>
  </si>
  <si>
    <t>지구과학Ⅱ</t>
  </si>
  <si>
    <t>생활∙
교양</t>
    <phoneticPr fontId="1" type="noConversion"/>
  </si>
  <si>
    <t>영어</t>
    <phoneticPr fontId="1" type="noConversion"/>
  </si>
  <si>
    <t>일반</t>
    <phoneticPr fontId="1" type="noConversion"/>
  </si>
  <si>
    <t>고급 수학Ⅰ</t>
    <phoneticPr fontId="1" type="noConversion"/>
  </si>
  <si>
    <t>영어 독해와 작문</t>
  </si>
  <si>
    <t>탐구</t>
    <phoneticPr fontId="1" type="noConversion"/>
  </si>
  <si>
    <t>여행지리</t>
    <phoneticPr fontId="1" type="noConversion"/>
  </si>
  <si>
    <t>사회문제 탐구</t>
    <phoneticPr fontId="1" type="noConversion"/>
  </si>
  <si>
    <t>고전과 윤리</t>
    <phoneticPr fontId="1" type="noConversion"/>
  </si>
  <si>
    <t xml:space="preserve">물리학Ⅱ </t>
  </si>
  <si>
    <t>고급 물리학</t>
    <phoneticPr fontId="1" type="noConversion"/>
  </si>
  <si>
    <t>고급 화학</t>
    <phoneticPr fontId="1" type="noConversion"/>
  </si>
  <si>
    <t>고급 생명과학</t>
    <phoneticPr fontId="1" type="noConversion"/>
  </si>
  <si>
    <t>고급 지구과학</t>
    <phoneticPr fontId="1" type="noConversion"/>
  </si>
  <si>
    <t>과학과제 연구</t>
    <phoneticPr fontId="1" type="noConversion"/>
  </si>
  <si>
    <t>음악 감상과 비평</t>
    <phoneticPr fontId="1" type="noConversion"/>
  </si>
  <si>
    <t>미술 감상과 비평</t>
    <phoneticPr fontId="1" type="noConversion"/>
  </si>
  <si>
    <t>전문Ⅰ</t>
  </si>
  <si>
    <t>휘경여자고등학교 교육과정 학점 배당표</t>
    <phoneticPr fontId="1" type="noConversion"/>
  </si>
  <si>
    <t>기하</t>
  </si>
  <si>
    <t>인공지능과 미래사회</t>
    <phoneticPr fontId="1" type="noConversion"/>
  </si>
  <si>
    <t>수학</t>
    <phoneticPr fontId="1" type="noConversion"/>
  </si>
  <si>
    <t>과학</t>
    <phoneticPr fontId="1" type="noConversion"/>
  </si>
  <si>
    <t>사 회
(역사/도덕 포함)</t>
    <phoneticPr fontId="1" type="noConversion"/>
  </si>
  <si>
    <t>사회
(역사/도덕 포함)</t>
    <phoneticPr fontId="1" type="noConversion"/>
  </si>
  <si>
    <t>6
(택3)</t>
    <phoneticPr fontId="1" type="noConversion"/>
  </si>
  <si>
    <t>2
(택1)</t>
    <phoneticPr fontId="1" type="noConversion"/>
  </si>
  <si>
    <r>
      <rPr>
        <b/>
        <sz val="10"/>
        <rFont val="맑은 고딕"/>
        <family val="3"/>
        <charset val="129"/>
        <scheme val="minor"/>
      </rPr>
      <t>※ 유의사항</t>
    </r>
    <r>
      <rPr>
        <sz val="10"/>
        <rFont val="맑은 고딕"/>
        <family val="3"/>
        <charset val="129"/>
        <scheme val="minor"/>
      </rPr>
      <t xml:space="preserve">
-  3학년에서 예술은 4학점 이상 선택</t>
    </r>
    <phoneticPr fontId="1" type="noConversion"/>
  </si>
  <si>
    <t>체육·예술</t>
    <phoneticPr fontId="1" type="noConversion"/>
  </si>
  <si>
    <t>예술</t>
    <phoneticPr fontId="1" type="noConversion"/>
  </si>
  <si>
    <t>2024학년도 입학(2015 개정 교육과정 적용_과학중점형)</t>
    <phoneticPr fontId="1" type="noConversion"/>
  </si>
  <si>
    <t>사회･문화</t>
  </si>
  <si>
    <t>생활과 윤리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</si>
</sst>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8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10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/>
  </cellStyleXfs>
  <cellXfs count="23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5" xfId="0" applyBorder="1"/>
    <xf numFmtId="49" fontId="3" fillId="0" borderId="8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9" fillId="0" borderId="8" xfId="0" applyNumberFormat="1" applyFont="1" applyBorder="1" applyAlignment="1">
      <alignment horizontal="center" vertical="center"/>
    </xf>
    <xf numFmtId="0" fontId="3" fillId="0" borderId="8" xfId="0" applyFont="1" applyBorder="1"/>
    <xf numFmtId="49" fontId="3" fillId="0" borderId="13" xfId="0" applyNumberFormat="1" applyFont="1" applyBorder="1" applyAlignment="1">
      <alignment horizontal="center"/>
    </xf>
    <xf numFmtId="49" fontId="3" fillId="0" borderId="84" xfId="0" applyNumberFormat="1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 wrapText="1"/>
    </xf>
    <xf numFmtId="49" fontId="0" fillId="0" borderId="84" xfId="0" applyNumberFormat="1" applyBorder="1" applyAlignment="1">
      <alignment horizontal="center"/>
    </xf>
    <xf numFmtId="49" fontId="0" fillId="0" borderId="0" xfId="0" applyNumberFormat="1"/>
    <xf numFmtId="0" fontId="12" fillId="0" borderId="50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4" xfId="0" quotePrefix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58" xfId="0" quotePrefix="1" applyFont="1" applyBorder="1" applyAlignment="1">
      <alignment horizontal="center" vertical="center"/>
    </xf>
    <xf numFmtId="0" fontId="2" fillId="0" borderId="57" xfId="0" quotePrefix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46" xfId="0" quotePrefix="1" applyFont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2" fillId="0" borderId="36" xfId="0" quotePrefix="1" applyFont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0" fontId="2" fillId="0" borderId="44" xfId="0" quotePrefix="1" applyFont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7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41" xfId="0" quotePrefix="1" applyFont="1" applyBorder="1" applyAlignment="1">
      <alignment horizontal="center" vertical="center"/>
    </xf>
    <xf numFmtId="0" fontId="2" fillId="0" borderId="20" xfId="0" quotePrefix="1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 vertical="center"/>
    </xf>
    <xf numFmtId="0" fontId="2" fillId="0" borderId="42" xfId="0" quotePrefix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0" xfId="0" applyFont="1" applyBorder="1" applyAlignment="1">
      <alignment horizontal="center" vertical="center"/>
    </xf>
    <xf numFmtId="0" fontId="2" fillId="0" borderId="72" xfId="0" quotePrefix="1" applyFont="1" applyBorder="1" applyAlignment="1">
      <alignment horizontal="center" vertical="center"/>
    </xf>
    <xf numFmtId="0" fontId="2" fillId="0" borderId="23" xfId="0" quotePrefix="1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0" fontId="2" fillId="0" borderId="88" xfId="0" quotePrefix="1" applyFont="1" applyBorder="1" applyAlignment="1">
      <alignment horizontal="center" vertical="center"/>
    </xf>
    <xf numFmtId="0" fontId="2" fillId="0" borderId="102" xfId="0" applyFont="1" applyBorder="1" applyAlignment="1">
      <alignment horizontal="center" vertical="center"/>
    </xf>
    <xf numFmtId="0" fontId="2" fillId="0" borderId="10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0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1" fillId="3" borderId="83" xfId="0" applyFont="1" applyFill="1" applyBorder="1" applyAlignment="1">
      <alignment horizontal="center" vertical="center" wrapText="1"/>
    </xf>
    <xf numFmtId="0" fontId="11" fillId="3" borderId="80" xfId="0" applyFont="1" applyFill="1" applyBorder="1" applyAlignment="1">
      <alignment horizontal="center" vertical="center"/>
    </xf>
    <xf numFmtId="0" fontId="11" fillId="3" borderId="87" xfId="0" applyFont="1" applyFill="1" applyBorder="1" applyAlignment="1">
      <alignment horizontal="center" vertical="center"/>
    </xf>
    <xf numFmtId="0" fontId="11" fillId="3" borderId="82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8" xfId="0" applyFont="1" applyFill="1" applyBorder="1" applyAlignment="1">
      <alignment horizontal="center" vertical="center"/>
    </xf>
    <xf numFmtId="0" fontId="11" fillId="3" borderId="77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77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81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79" xfId="0" applyFont="1" applyFill="1" applyBorder="1" applyAlignment="1">
      <alignment horizontal="center" vertical="center" wrapText="1"/>
    </xf>
    <xf numFmtId="0" fontId="11" fillId="3" borderId="79" xfId="0" applyFont="1" applyFill="1" applyBorder="1" applyAlignment="1">
      <alignment horizontal="center" vertical="center"/>
    </xf>
    <xf numFmtId="0" fontId="11" fillId="3" borderId="74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7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/>
    </xf>
    <xf numFmtId="0" fontId="11" fillId="3" borderId="73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85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86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101" xfId="0" applyFont="1" applyBorder="1" applyAlignment="1">
      <alignment horizontal="center" vertical="center" wrapText="1"/>
    </xf>
    <xf numFmtId="0" fontId="2" fillId="0" borderId="98" xfId="0" applyFont="1" applyBorder="1" applyAlignment="1">
      <alignment horizontal="center" vertical="center" wrapText="1"/>
    </xf>
    <xf numFmtId="0" fontId="2" fillId="0" borderId="9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1" xfId="0" applyFont="1" applyBorder="1" applyAlignment="1">
      <alignment horizontal="center" vertical="center"/>
    </xf>
    <xf numFmtId="0" fontId="2" fillId="0" borderId="98" xfId="0" applyFont="1" applyBorder="1" applyAlignment="1">
      <alignment horizontal="center" vertical="center"/>
    </xf>
    <xf numFmtId="0" fontId="2" fillId="0" borderId="9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19" xfId="0" applyFont="1" applyFill="1" applyBorder="1" applyAlignment="1">
      <alignment horizontal="center"/>
    </xf>
    <xf numFmtId="0" fontId="2" fillId="3" borderId="90" xfId="0" applyFont="1" applyFill="1" applyBorder="1" applyAlignment="1">
      <alignment horizontal="left" vertical="top" wrapText="1"/>
    </xf>
    <xf numFmtId="0" fontId="2" fillId="3" borderId="28" xfId="0" applyFont="1" applyFill="1" applyBorder="1" applyAlignment="1">
      <alignment horizontal="left" vertical="top"/>
    </xf>
    <xf numFmtId="0" fontId="2" fillId="3" borderId="91" xfId="0" applyFont="1" applyFill="1" applyBorder="1" applyAlignment="1">
      <alignment horizontal="left" vertical="top"/>
    </xf>
    <xf numFmtId="0" fontId="2" fillId="3" borderId="25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92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0" borderId="93" xfId="0" applyFont="1" applyBorder="1" applyAlignment="1">
      <alignment horizontal="center" vertical="center" wrapText="1"/>
    </xf>
    <xf numFmtId="0" fontId="2" fillId="0" borderId="94" xfId="0" applyFont="1" applyBorder="1" applyAlignment="1">
      <alignment horizontal="center" vertical="center" wrapText="1"/>
    </xf>
    <xf numFmtId="0" fontId="2" fillId="0" borderId="9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96" xfId="0" applyFont="1" applyBorder="1" applyAlignment="1">
      <alignment horizontal="center"/>
    </xf>
    <xf numFmtId="0" fontId="2" fillId="0" borderId="97" xfId="0" applyFont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4" borderId="74" xfId="0" applyFont="1" applyFill="1" applyBorder="1" applyAlignment="1">
      <alignment horizontal="center" vertical="center" wrapText="1"/>
    </xf>
    <xf numFmtId="0" fontId="2" fillId="4" borderId="68" xfId="0" applyFont="1" applyFill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2" borderId="86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/>
    </xf>
  </cellXfs>
  <cellStyles count="1">
    <cellStyle name="표준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30" formatCode="@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620318</xdr:colOff>
      <xdr:row>79</xdr:row>
      <xdr:rowOff>98761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E24DA47A-C6DA-B405-5C75-7401250733B5}"/>
            </a:ext>
          </a:extLst>
        </xdr:cNvPr>
        <xdr:cNvGrpSpPr/>
      </xdr:nvGrpSpPr>
      <xdr:grpSpPr>
        <a:xfrm>
          <a:off x="0" y="0"/>
          <a:ext cx="8621318" cy="14395786"/>
          <a:chOff x="0" y="0"/>
          <a:chExt cx="8545118" cy="14144961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731F802A-C112-E970-D4C7-DD4B0047CD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8545118" cy="4667901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6CD5C590-11FA-92D2-A4DF-700D702F9F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4622800"/>
            <a:ext cx="8383170" cy="512516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454343E-9B72-8981-BA06-7204B2E742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9779000"/>
            <a:ext cx="8316486" cy="2000529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1036A2E1-34F7-346A-F982-5683CC5461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0" y="11734800"/>
            <a:ext cx="8242300" cy="2410161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A4" totalsRowShown="0" headerRowDxfId="29" dataDxfId="27" headerRowBorderDxfId="28" tableBorderDxfId="26" totalsRowBorderDxfId="25">
  <autoFilter ref="A1:A4" xr:uid="{00000000-0009-0000-0100-000001000000}"/>
  <tableColumns count="1">
    <tableColumn id="1" xr3:uid="{00000000-0010-0000-0000-000001000000}" name="과목유형" dataDxfId="2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표7" displayName="표7" ref="B1:B8" totalsRowShown="0" headerRowDxfId="23" dataDxfId="21" headerRowBorderDxfId="22" tableBorderDxfId="20" totalsRowBorderDxfId="19">
  <autoFilter ref="B1:B8" xr:uid="{00000000-0009-0000-0100-000007000000}"/>
  <tableColumns count="1">
    <tableColumn id="1" xr3:uid="{00000000-0010-0000-0100-000001000000}" name="공통" dataDxfId="1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표8" displayName="표8" ref="C1:C52" totalsRowShown="0" headerRowDxfId="17" dataDxfId="15" headerRowBorderDxfId="16" tableBorderDxfId="14" totalsRowBorderDxfId="13">
  <autoFilter ref="C1:C52" xr:uid="{00000000-0009-0000-0100-000008000000}"/>
  <tableColumns count="1">
    <tableColumn id="1" xr3:uid="{00000000-0010-0000-0200-000001000000}" name="일반" dataDxfId="1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표9" displayName="표9" ref="D1:D47" totalsRowShown="0" headerRowDxfId="11" dataDxfId="9" headerRowBorderDxfId="10" tableBorderDxfId="8" totalsRowBorderDxfId="7">
  <autoFilter ref="D1:D47" xr:uid="{00000000-0009-0000-0100-000009000000}"/>
  <tableColumns count="1">
    <tableColumn id="1" xr3:uid="{00000000-0010-0000-0300-000001000000}" name="진로" dataDxfId="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표10" displayName="표10" ref="E1:E5" totalsRowShown="0" headerRowDxfId="5" dataDxfId="3" headerRowBorderDxfId="4" tableBorderDxfId="2" totalsRowBorderDxfId="1">
  <autoFilter ref="E1:E5" xr:uid="{00000000-0009-0000-0100-00000A000000}"/>
  <tableColumns count="1">
    <tableColumn id="1" xr3:uid="{00000000-0010-0000-0400-000001000000}" name="비고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2" zoomScale="80" zoomScaleNormal="80" workbookViewId="0">
      <selection activeCell="O41" sqref="O41"/>
    </sheetView>
  </sheetViews>
  <sheetFormatPr defaultRowHeight="14.4" x14ac:dyDescent="0.2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69"/>
  <sheetViews>
    <sheetView tabSelected="1" topLeftCell="A28" zoomScaleNormal="100" zoomScaleSheetLayoutView="100" workbookViewId="0">
      <selection activeCell="E40" sqref="E40"/>
    </sheetView>
  </sheetViews>
  <sheetFormatPr defaultRowHeight="14.4" x14ac:dyDescent="0.25"/>
  <cols>
    <col min="1" max="1" width="3.59765625" customWidth="1"/>
    <col min="2" max="2" width="8.59765625" bestFit="1" customWidth="1"/>
    <col min="3" max="3" width="12.19921875" customWidth="1"/>
    <col min="4" max="4" width="9.09765625" style="1" customWidth="1"/>
    <col min="5" max="5" width="19" style="1" bestFit="1" customWidth="1"/>
    <col min="6" max="13" width="5.796875" style="1" customWidth="1"/>
    <col min="14" max="14" width="12.09765625" style="1" customWidth="1"/>
    <col min="15" max="16" width="5.796875" style="1" customWidth="1"/>
    <col min="17" max="17" width="6" customWidth="1"/>
    <col min="249" max="249" width="3.59765625" customWidth="1"/>
    <col min="250" max="252" width="5.796875" customWidth="1"/>
    <col min="253" max="253" width="11.09765625" customWidth="1"/>
    <col min="254" max="261" width="5.796875" customWidth="1"/>
    <col min="262" max="262" width="7.09765625" customWidth="1"/>
    <col min="263" max="264" width="5.796875" customWidth="1"/>
    <col min="265" max="265" width="6" customWidth="1"/>
    <col min="505" max="505" width="3.59765625" customWidth="1"/>
    <col min="506" max="508" width="5.796875" customWidth="1"/>
    <col min="509" max="509" width="11.09765625" customWidth="1"/>
    <col min="510" max="517" width="5.796875" customWidth="1"/>
    <col min="518" max="518" width="7.09765625" customWidth="1"/>
    <col min="519" max="520" width="5.796875" customWidth="1"/>
    <col min="521" max="521" width="6" customWidth="1"/>
    <col min="761" max="761" width="3.59765625" customWidth="1"/>
    <col min="762" max="764" width="5.796875" customWidth="1"/>
    <col min="765" max="765" width="11.09765625" customWidth="1"/>
    <col min="766" max="773" width="5.796875" customWidth="1"/>
    <col min="774" max="774" width="7.09765625" customWidth="1"/>
    <col min="775" max="776" width="5.796875" customWidth="1"/>
    <col min="777" max="777" width="6" customWidth="1"/>
    <col min="1017" max="1017" width="3.59765625" customWidth="1"/>
    <col min="1018" max="1020" width="5.796875" customWidth="1"/>
    <col min="1021" max="1021" width="11.09765625" customWidth="1"/>
    <col min="1022" max="1029" width="5.796875" customWidth="1"/>
    <col min="1030" max="1030" width="7.09765625" customWidth="1"/>
    <col min="1031" max="1032" width="5.796875" customWidth="1"/>
    <col min="1033" max="1033" width="6" customWidth="1"/>
    <col min="1273" max="1273" width="3.59765625" customWidth="1"/>
    <col min="1274" max="1276" width="5.796875" customWidth="1"/>
    <col min="1277" max="1277" width="11.09765625" customWidth="1"/>
    <col min="1278" max="1285" width="5.796875" customWidth="1"/>
    <col min="1286" max="1286" width="7.09765625" customWidth="1"/>
    <col min="1287" max="1288" width="5.796875" customWidth="1"/>
    <col min="1289" max="1289" width="6" customWidth="1"/>
    <col min="1529" max="1529" width="3.59765625" customWidth="1"/>
    <col min="1530" max="1532" width="5.796875" customWidth="1"/>
    <col min="1533" max="1533" width="11.09765625" customWidth="1"/>
    <col min="1534" max="1541" width="5.796875" customWidth="1"/>
    <col min="1542" max="1542" width="7.09765625" customWidth="1"/>
    <col min="1543" max="1544" width="5.796875" customWidth="1"/>
    <col min="1545" max="1545" width="6" customWidth="1"/>
    <col min="1785" max="1785" width="3.59765625" customWidth="1"/>
    <col min="1786" max="1788" width="5.796875" customWidth="1"/>
    <col min="1789" max="1789" width="11.09765625" customWidth="1"/>
    <col min="1790" max="1797" width="5.796875" customWidth="1"/>
    <col min="1798" max="1798" width="7.09765625" customWidth="1"/>
    <col min="1799" max="1800" width="5.796875" customWidth="1"/>
    <col min="1801" max="1801" width="6" customWidth="1"/>
    <col min="2041" max="2041" width="3.59765625" customWidth="1"/>
    <col min="2042" max="2044" width="5.796875" customWidth="1"/>
    <col min="2045" max="2045" width="11.09765625" customWidth="1"/>
    <col min="2046" max="2053" width="5.796875" customWidth="1"/>
    <col min="2054" max="2054" width="7.09765625" customWidth="1"/>
    <col min="2055" max="2056" width="5.796875" customWidth="1"/>
    <col min="2057" max="2057" width="6" customWidth="1"/>
    <col min="2297" max="2297" width="3.59765625" customWidth="1"/>
    <col min="2298" max="2300" width="5.796875" customWidth="1"/>
    <col min="2301" max="2301" width="11.09765625" customWidth="1"/>
    <col min="2302" max="2309" width="5.796875" customWidth="1"/>
    <col min="2310" max="2310" width="7.09765625" customWidth="1"/>
    <col min="2311" max="2312" width="5.796875" customWidth="1"/>
    <col min="2313" max="2313" width="6" customWidth="1"/>
    <col min="2553" max="2553" width="3.59765625" customWidth="1"/>
    <col min="2554" max="2556" width="5.796875" customWidth="1"/>
    <col min="2557" max="2557" width="11.09765625" customWidth="1"/>
    <col min="2558" max="2565" width="5.796875" customWidth="1"/>
    <col min="2566" max="2566" width="7.09765625" customWidth="1"/>
    <col min="2567" max="2568" width="5.796875" customWidth="1"/>
    <col min="2569" max="2569" width="6" customWidth="1"/>
    <col min="2809" max="2809" width="3.59765625" customWidth="1"/>
    <col min="2810" max="2812" width="5.796875" customWidth="1"/>
    <col min="2813" max="2813" width="11.09765625" customWidth="1"/>
    <col min="2814" max="2821" width="5.796875" customWidth="1"/>
    <col min="2822" max="2822" width="7.09765625" customWidth="1"/>
    <col min="2823" max="2824" width="5.796875" customWidth="1"/>
    <col min="2825" max="2825" width="6" customWidth="1"/>
    <col min="3065" max="3065" width="3.59765625" customWidth="1"/>
    <col min="3066" max="3068" width="5.796875" customWidth="1"/>
    <col min="3069" max="3069" width="11.09765625" customWidth="1"/>
    <col min="3070" max="3077" width="5.796875" customWidth="1"/>
    <col min="3078" max="3078" width="7.09765625" customWidth="1"/>
    <col min="3079" max="3080" width="5.796875" customWidth="1"/>
    <col min="3081" max="3081" width="6" customWidth="1"/>
    <col min="3321" max="3321" width="3.59765625" customWidth="1"/>
    <col min="3322" max="3324" width="5.796875" customWidth="1"/>
    <col min="3325" max="3325" width="11.09765625" customWidth="1"/>
    <col min="3326" max="3333" width="5.796875" customWidth="1"/>
    <col min="3334" max="3334" width="7.09765625" customWidth="1"/>
    <col min="3335" max="3336" width="5.796875" customWidth="1"/>
    <col min="3337" max="3337" width="6" customWidth="1"/>
    <col min="3577" max="3577" width="3.59765625" customWidth="1"/>
    <col min="3578" max="3580" width="5.796875" customWidth="1"/>
    <col min="3581" max="3581" width="11.09765625" customWidth="1"/>
    <col min="3582" max="3589" width="5.796875" customWidth="1"/>
    <col min="3590" max="3590" width="7.09765625" customWidth="1"/>
    <col min="3591" max="3592" width="5.796875" customWidth="1"/>
    <col min="3593" max="3593" width="6" customWidth="1"/>
    <col min="3833" max="3833" width="3.59765625" customWidth="1"/>
    <col min="3834" max="3836" width="5.796875" customWidth="1"/>
    <col min="3837" max="3837" width="11.09765625" customWidth="1"/>
    <col min="3838" max="3845" width="5.796875" customWidth="1"/>
    <col min="3846" max="3846" width="7.09765625" customWidth="1"/>
    <col min="3847" max="3848" width="5.796875" customWidth="1"/>
    <col min="3849" max="3849" width="6" customWidth="1"/>
    <col min="4089" max="4089" width="3.59765625" customWidth="1"/>
    <col min="4090" max="4092" width="5.796875" customWidth="1"/>
    <col min="4093" max="4093" width="11.09765625" customWidth="1"/>
    <col min="4094" max="4101" width="5.796875" customWidth="1"/>
    <col min="4102" max="4102" width="7.09765625" customWidth="1"/>
    <col min="4103" max="4104" width="5.796875" customWidth="1"/>
    <col min="4105" max="4105" width="6" customWidth="1"/>
    <col min="4345" max="4345" width="3.59765625" customWidth="1"/>
    <col min="4346" max="4348" width="5.796875" customWidth="1"/>
    <col min="4349" max="4349" width="11.09765625" customWidth="1"/>
    <col min="4350" max="4357" width="5.796875" customWidth="1"/>
    <col min="4358" max="4358" width="7.09765625" customWidth="1"/>
    <col min="4359" max="4360" width="5.796875" customWidth="1"/>
    <col min="4361" max="4361" width="6" customWidth="1"/>
    <col min="4601" max="4601" width="3.59765625" customWidth="1"/>
    <col min="4602" max="4604" width="5.796875" customWidth="1"/>
    <col min="4605" max="4605" width="11.09765625" customWidth="1"/>
    <col min="4606" max="4613" width="5.796875" customWidth="1"/>
    <col min="4614" max="4614" width="7.09765625" customWidth="1"/>
    <col min="4615" max="4616" width="5.796875" customWidth="1"/>
    <col min="4617" max="4617" width="6" customWidth="1"/>
    <col min="4857" max="4857" width="3.59765625" customWidth="1"/>
    <col min="4858" max="4860" width="5.796875" customWidth="1"/>
    <col min="4861" max="4861" width="11.09765625" customWidth="1"/>
    <col min="4862" max="4869" width="5.796875" customWidth="1"/>
    <col min="4870" max="4870" width="7.09765625" customWidth="1"/>
    <col min="4871" max="4872" width="5.796875" customWidth="1"/>
    <col min="4873" max="4873" width="6" customWidth="1"/>
    <col min="5113" max="5113" width="3.59765625" customWidth="1"/>
    <col min="5114" max="5116" width="5.796875" customWidth="1"/>
    <col min="5117" max="5117" width="11.09765625" customWidth="1"/>
    <col min="5118" max="5125" width="5.796875" customWidth="1"/>
    <col min="5126" max="5126" width="7.09765625" customWidth="1"/>
    <col min="5127" max="5128" width="5.796875" customWidth="1"/>
    <col min="5129" max="5129" width="6" customWidth="1"/>
    <col min="5369" max="5369" width="3.59765625" customWidth="1"/>
    <col min="5370" max="5372" width="5.796875" customWidth="1"/>
    <col min="5373" max="5373" width="11.09765625" customWidth="1"/>
    <col min="5374" max="5381" width="5.796875" customWidth="1"/>
    <col min="5382" max="5382" width="7.09765625" customWidth="1"/>
    <col min="5383" max="5384" width="5.796875" customWidth="1"/>
    <col min="5385" max="5385" width="6" customWidth="1"/>
    <col min="5625" max="5625" width="3.59765625" customWidth="1"/>
    <col min="5626" max="5628" width="5.796875" customWidth="1"/>
    <col min="5629" max="5629" width="11.09765625" customWidth="1"/>
    <col min="5630" max="5637" width="5.796875" customWidth="1"/>
    <col min="5638" max="5638" width="7.09765625" customWidth="1"/>
    <col min="5639" max="5640" width="5.796875" customWidth="1"/>
    <col min="5641" max="5641" width="6" customWidth="1"/>
    <col min="5881" max="5881" width="3.59765625" customWidth="1"/>
    <col min="5882" max="5884" width="5.796875" customWidth="1"/>
    <col min="5885" max="5885" width="11.09765625" customWidth="1"/>
    <col min="5886" max="5893" width="5.796875" customWidth="1"/>
    <col min="5894" max="5894" width="7.09765625" customWidth="1"/>
    <col min="5895" max="5896" width="5.796875" customWidth="1"/>
    <col min="5897" max="5897" width="6" customWidth="1"/>
    <col min="6137" max="6137" width="3.59765625" customWidth="1"/>
    <col min="6138" max="6140" width="5.796875" customWidth="1"/>
    <col min="6141" max="6141" width="11.09765625" customWidth="1"/>
    <col min="6142" max="6149" width="5.796875" customWidth="1"/>
    <col min="6150" max="6150" width="7.09765625" customWidth="1"/>
    <col min="6151" max="6152" width="5.796875" customWidth="1"/>
    <col min="6153" max="6153" width="6" customWidth="1"/>
    <col min="6393" max="6393" width="3.59765625" customWidth="1"/>
    <col min="6394" max="6396" width="5.796875" customWidth="1"/>
    <col min="6397" max="6397" width="11.09765625" customWidth="1"/>
    <col min="6398" max="6405" width="5.796875" customWidth="1"/>
    <col min="6406" max="6406" width="7.09765625" customWidth="1"/>
    <col min="6407" max="6408" width="5.796875" customWidth="1"/>
    <col min="6409" max="6409" width="6" customWidth="1"/>
    <col min="6649" max="6649" width="3.59765625" customWidth="1"/>
    <col min="6650" max="6652" width="5.796875" customWidth="1"/>
    <col min="6653" max="6653" width="11.09765625" customWidth="1"/>
    <col min="6654" max="6661" width="5.796875" customWidth="1"/>
    <col min="6662" max="6662" width="7.09765625" customWidth="1"/>
    <col min="6663" max="6664" width="5.796875" customWidth="1"/>
    <col min="6665" max="6665" width="6" customWidth="1"/>
    <col min="6905" max="6905" width="3.59765625" customWidth="1"/>
    <col min="6906" max="6908" width="5.796875" customWidth="1"/>
    <col min="6909" max="6909" width="11.09765625" customWidth="1"/>
    <col min="6910" max="6917" width="5.796875" customWidth="1"/>
    <col min="6918" max="6918" width="7.09765625" customWidth="1"/>
    <col min="6919" max="6920" width="5.796875" customWidth="1"/>
    <col min="6921" max="6921" width="6" customWidth="1"/>
    <col min="7161" max="7161" width="3.59765625" customWidth="1"/>
    <col min="7162" max="7164" width="5.796875" customWidth="1"/>
    <col min="7165" max="7165" width="11.09765625" customWidth="1"/>
    <col min="7166" max="7173" width="5.796875" customWidth="1"/>
    <col min="7174" max="7174" width="7.09765625" customWidth="1"/>
    <col min="7175" max="7176" width="5.796875" customWidth="1"/>
    <col min="7177" max="7177" width="6" customWidth="1"/>
    <col min="7417" max="7417" width="3.59765625" customWidth="1"/>
    <col min="7418" max="7420" width="5.796875" customWidth="1"/>
    <col min="7421" max="7421" width="11.09765625" customWidth="1"/>
    <col min="7422" max="7429" width="5.796875" customWidth="1"/>
    <col min="7430" max="7430" width="7.09765625" customWidth="1"/>
    <col min="7431" max="7432" width="5.796875" customWidth="1"/>
    <col min="7433" max="7433" width="6" customWidth="1"/>
    <col min="7673" max="7673" width="3.59765625" customWidth="1"/>
    <col min="7674" max="7676" width="5.796875" customWidth="1"/>
    <col min="7677" max="7677" width="11.09765625" customWidth="1"/>
    <col min="7678" max="7685" width="5.796875" customWidth="1"/>
    <col min="7686" max="7686" width="7.09765625" customWidth="1"/>
    <col min="7687" max="7688" width="5.796875" customWidth="1"/>
    <col min="7689" max="7689" width="6" customWidth="1"/>
    <col min="7929" max="7929" width="3.59765625" customWidth="1"/>
    <col min="7930" max="7932" width="5.796875" customWidth="1"/>
    <col min="7933" max="7933" width="11.09765625" customWidth="1"/>
    <col min="7934" max="7941" width="5.796875" customWidth="1"/>
    <col min="7942" max="7942" width="7.09765625" customWidth="1"/>
    <col min="7943" max="7944" width="5.796875" customWidth="1"/>
    <col min="7945" max="7945" width="6" customWidth="1"/>
    <col min="8185" max="8185" width="3.59765625" customWidth="1"/>
    <col min="8186" max="8188" width="5.796875" customWidth="1"/>
    <col min="8189" max="8189" width="11.09765625" customWidth="1"/>
    <col min="8190" max="8197" width="5.796875" customWidth="1"/>
    <col min="8198" max="8198" width="7.09765625" customWidth="1"/>
    <col min="8199" max="8200" width="5.796875" customWidth="1"/>
    <col min="8201" max="8201" width="6" customWidth="1"/>
    <col min="8441" max="8441" width="3.59765625" customWidth="1"/>
    <col min="8442" max="8444" width="5.796875" customWidth="1"/>
    <col min="8445" max="8445" width="11.09765625" customWidth="1"/>
    <col min="8446" max="8453" width="5.796875" customWidth="1"/>
    <col min="8454" max="8454" width="7.09765625" customWidth="1"/>
    <col min="8455" max="8456" width="5.796875" customWidth="1"/>
    <col min="8457" max="8457" width="6" customWidth="1"/>
    <col min="8697" max="8697" width="3.59765625" customWidth="1"/>
    <col min="8698" max="8700" width="5.796875" customWidth="1"/>
    <col min="8701" max="8701" width="11.09765625" customWidth="1"/>
    <col min="8702" max="8709" width="5.796875" customWidth="1"/>
    <col min="8710" max="8710" width="7.09765625" customWidth="1"/>
    <col min="8711" max="8712" width="5.796875" customWidth="1"/>
    <col min="8713" max="8713" width="6" customWidth="1"/>
    <col min="8953" max="8953" width="3.59765625" customWidth="1"/>
    <col min="8954" max="8956" width="5.796875" customWidth="1"/>
    <col min="8957" max="8957" width="11.09765625" customWidth="1"/>
    <col min="8958" max="8965" width="5.796875" customWidth="1"/>
    <col min="8966" max="8966" width="7.09765625" customWidth="1"/>
    <col min="8967" max="8968" width="5.796875" customWidth="1"/>
    <col min="8969" max="8969" width="6" customWidth="1"/>
    <col min="9209" max="9209" width="3.59765625" customWidth="1"/>
    <col min="9210" max="9212" width="5.796875" customWidth="1"/>
    <col min="9213" max="9213" width="11.09765625" customWidth="1"/>
    <col min="9214" max="9221" width="5.796875" customWidth="1"/>
    <col min="9222" max="9222" width="7.09765625" customWidth="1"/>
    <col min="9223" max="9224" width="5.796875" customWidth="1"/>
    <col min="9225" max="9225" width="6" customWidth="1"/>
    <col min="9465" max="9465" width="3.59765625" customWidth="1"/>
    <col min="9466" max="9468" width="5.796875" customWidth="1"/>
    <col min="9469" max="9469" width="11.09765625" customWidth="1"/>
    <col min="9470" max="9477" width="5.796875" customWidth="1"/>
    <col min="9478" max="9478" width="7.09765625" customWidth="1"/>
    <col min="9479" max="9480" width="5.796875" customWidth="1"/>
    <col min="9481" max="9481" width="6" customWidth="1"/>
    <col min="9721" max="9721" width="3.59765625" customWidth="1"/>
    <col min="9722" max="9724" width="5.796875" customWidth="1"/>
    <col min="9725" max="9725" width="11.09765625" customWidth="1"/>
    <col min="9726" max="9733" width="5.796875" customWidth="1"/>
    <col min="9734" max="9734" width="7.09765625" customWidth="1"/>
    <col min="9735" max="9736" width="5.796875" customWidth="1"/>
    <col min="9737" max="9737" width="6" customWidth="1"/>
    <col min="9977" max="9977" width="3.59765625" customWidth="1"/>
    <col min="9978" max="9980" width="5.796875" customWidth="1"/>
    <col min="9981" max="9981" width="11.09765625" customWidth="1"/>
    <col min="9982" max="9989" width="5.796875" customWidth="1"/>
    <col min="9990" max="9990" width="7.09765625" customWidth="1"/>
    <col min="9991" max="9992" width="5.796875" customWidth="1"/>
    <col min="9993" max="9993" width="6" customWidth="1"/>
    <col min="10233" max="10233" width="3.59765625" customWidth="1"/>
    <col min="10234" max="10236" width="5.796875" customWidth="1"/>
    <col min="10237" max="10237" width="11.09765625" customWidth="1"/>
    <col min="10238" max="10245" width="5.796875" customWidth="1"/>
    <col min="10246" max="10246" width="7.09765625" customWidth="1"/>
    <col min="10247" max="10248" width="5.796875" customWidth="1"/>
    <col min="10249" max="10249" width="6" customWidth="1"/>
    <col min="10489" max="10489" width="3.59765625" customWidth="1"/>
    <col min="10490" max="10492" width="5.796875" customWidth="1"/>
    <col min="10493" max="10493" width="11.09765625" customWidth="1"/>
    <col min="10494" max="10501" width="5.796875" customWidth="1"/>
    <col min="10502" max="10502" width="7.09765625" customWidth="1"/>
    <col min="10503" max="10504" width="5.796875" customWidth="1"/>
    <col min="10505" max="10505" width="6" customWidth="1"/>
    <col min="10745" max="10745" width="3.59765625" customWidth="1"/>
    <col min="10746" max="10748" width="5.796875" customWidth="1"/>
    <col min="10749" max="10749" width="11.09765625" customWidth="1"/>
    <col min="10750" max="10757" width="5.796875" customWidth="1"/>
    <col min="10758" max="10758" width="7.09765625" customWidth="1"/>
    <col min="10759" max="10760" width="5.796875" customWidth="1"/>
    <col min="10761" max="10761" width="6" customWidth="1"/>
    <col min="11001" max="11001" width="3.59765625" customWidth="1"/>
    <col min="11002" max="11004" width="5.796875" customWidth="1"/>
    <col min="11005" max="11005" width="11.09765625" customWidth="1"/>
    <col min="11006" max="11013" width="5.796875" customWidth="1"/>
    <col min="11014" max="11014" width="7.09765625" customWidth="1"/>
    <col min="11015" max="11016" width="5.796875" customWidth="1"/>
    <col min="11017" max="11017" width="6" customWidth="1"/>
    <col min="11257" max="11257" width="3.59765625" customWidth="1"/>
    <col min="11258" max="11260" width="5.796875" customWidth="1"/>
    <col min="11261" max="11261" width="11.09765625" customWidth="1"/>
    <col min="11262" max="11269" width="5.796875" customWidth="1"/>
    <col min="11270" max="11270" width="7.09765625" customWidth="1"/>
    <col min="11271" max="11272" width="5.796875" customWidth="1"/>
    <col min="11273" max="11273" width="6" customWidth="1"/>
    <col min="11513" max="11513" width="3.59765625" customWidth="1"/>
    <col min="11514" max="11516" width="5.796875" customWidth="1"/>
    <col min="11517" max="11517" width="11.09765625" customWidth="1"/>
    <col min="11518" max="11525" width="5.796875" customWidth="1"/>
    <col min="11526" max="11526" width="7.09765625" customWidth="1"/>
    <col min="11527" max="11528" width="5.796875" customWidth="1"/>
    <col min="11529" max="11529" width="6" customWidth="1"/>
    <col min="11769" max="11769" width="3.59765625" customWidth="1"/>
    <col min="11770" max="11772" width="5.796875" customWidth="1"/>
    <col min="11773" max="11773" width="11.09765625" customWidth="1"/>
    <col min="11774" max="11781" width="5.796875" customWidth="1"/>
    <col min="11782" max="11782" width="7.09765625" customWidth="1"/>
    <col min="11783" max="11784" width="5.796875" customWidth="1"/>
    <col min="11785" max="11785" width="6" customWidth="1"/>
    <col min="12025" max="12025" width="3.59765625" customWidth="1"/>
    <col min="12026" max="12028" width="5.796875" customWidth="1"/>
    <col min="12029" max="12029" width="11.09765625" customWidth="1"/>
    <col min="12030" max="12037" width="5.796875" customWidth="1"/>
    <col min="12038" max="12038" width="7.09765625" customWidth="1"/>
    <col min="12039" max="12040" width="5.796875" customWidth="1"/>
    <col min="12041" max="12041" width="6" customWidth="1"/>
    <col min="12281" max="12281" width="3.59765625" customWidth="1"/>
    <col min="12282" max="12284" width="5.796875" customWidth="1"/>
    <col min="12285" max="12285" width="11.09765625" customWidth="1"/>
    <col min="12286" max="12293" width="5.796875" customWidth="1"/>
    <col min="12294" max="12294" width="7.09765625" customWidth="1"/>
    <col min="12295" max="12296" width="5.796875" customWidth="1"/>
    <col min="12297" max="12297" width="6" customWidth="1"/>
    <col min="12537" max="12537" width="3.59765625" customWidth="1"/>
    <col min="12538" max="12540" width="5.796875" customWidth="1"/>
    <col min="12541" max="12541" width="11.09765625" customWidth="1"/>
    <col min="12542" max="12549" width="5.796875" customWidth="1"/>
    <col min="12550" max="12550" width="7.09765625" customWidth="1"/>
    <col min="12551" max="12552" width="5.796875" customWidth="1"/>
    <col min="12553" max="12553" width="6" customWidth="1"/>
    <col min="12793" max="12793" width="3.59765625" customWidth="1"/>
    <col min="12794" max="12796" width="5.796875" customWidth="1"/>
    <col min="12797" max="12797" width="11.09765625" customWidth="1"/>
    <col min="12798" max="12805" width="5.796875" customWidth="1"/>
    <col min="12806" max="12806" width="7.09765625" customWidth="1"/>
    <col min="12807" max="12808" width="5.796875" customWidth="1"/>
    <col min="12809" max="12809" width="6" customWidth="1"/>
    <col min="13049" max="13049" width="3.59765625" customWidth="1"/>
    <col min="13050" max="13052" width="5.796875" customWidth="1"/>
    <col min="13053" max="13053" width="11.09765625" customWidth="1"/>
    <col min="13054" max="13061" width="5.796875" customWidth="1"/>
    <col min="13062" max="13062" width="7.09765625" customWidth="1"/>
    <col min="13063" max="13064" width="5.796875" customWidth="1"/>
    <col min="13065" max="13065" width="6" customWidth="1"/>
    <col min="13305" max="13305" width="3.59765625" customWidth="1"/>
    <col min="13306" max="13308" width="5.796875" customWidth="1"/>
    <col min="13309" max="13309" width="11.09765625" customWidth="1"/>
    <col min="13310" max="13317" width="5.796875" customWidth="1"/>
    <col min="13318" max="13318" width="7.09765625" customWidth="1"/>
    <col min="13319" max="13320" width="5.796875" customWidth="1"/>
    <col min="13321" max="13321" width="6" customWidth="1"/>
    <col min="13561" max="13561" width="3.59765625" customWidth="1"/>
    <col min="13562" max="13564" width="5.796875" customWidth="1"/>
    <col min="13565" max="13565" width="11.09765625" customWidth="1"/>
    <col min="13566" max="13573" width="5.796875" customWidth="1"/>
    <col min="13574" max="13574" width="7.09765625" customWidth="1"/>
    <col min="13575" max="13576" width="5.796875" customWidth="1"/>
    <col min="13577" max="13577" width="6" customWidth="1"/>
    <col min="13817" max="13817" width="3.59765625" customWidth="1"/>
    <col min="13818" max="13820" width="5.796875" customWidth="1"/>
    <col min="13821" max="13821" width="11.09765625" customWidth="1"/>
    <col min="13822" max="13829" width="5.796875" customWidth="1"/>
    <col min="13830" max="13830" width="7.09765625" customWidth="1"/>
    <col min="13831" max="13832" width="5.796875" customWidth="1"/>
    <col min="13833" max="13833" width="6" customWidth="1"/>
    <col min="14073" max="14073" width="3.59765625" customWidth="1"/>
    <col min="14074" max="14076" width="5.796875" customWidth="1"/>
    <col min="14077" max="14077" width="11.09765625" customWidth="1"/>
    <col min="14078" max="14085" width="5.796875" customWidth="1"/>
    <col min="14086" max="14086" width="7.09765625" customWidth="1"/>
    <col min="14087" max="14088" width="5.796875" customWidth="1"/>
    <col min="14089" max="14089" width="6" customWidth="1"/>
    <col min="14329" max="14329" width="3.59765625" customWidth="1"/>
    <col min="14330" max="14332" width="5.796875" customWidth="1"/>
    <col min="14333" max="14333" width="11.09765625" customWidth="1"/>
    <col min="14334" max="14341" width="5.796875" customWidth="1"/>
    <col min="14342" max="14342" width="7.09765625" customWidth="1"/>
    <col min="14343" max="14344" width="5.796875" customWidth="1"/>
    <col min="14345" max="14345" width="6" customWidth="1"/>
    <col min="14585" max="14585" width="3.59765625" customWidth="1"/>
    <col min="14586" max="14588" width="5.796875" customWidth="1"/>
    <col min="14589" max="14589" width="11.09765625" customWidth="1"/>
    <col min="14590" max="14597" width="5.796875" customWidth="1"/>
    <col min="14598" max="14598" width="7.09765625" customWidth="1"/>
    <col min="14599" max="14600" width="5.796875" customWidth="1"/>
    <col min="14601" max="14601" width="6" customWidth="1"/>
    <col min="14841" max="14841" width="3.59765625" customWidth="1"/>
    <col min="14842" max="14844" width="5.796875" customWidth="1"/>
    <col min="14845" max="14845" width="11.09765625" customWidth="1"/>
    <col min="14846" max="14853" width="5.796875" customWidth="1"/>
    <col min="14854" max="14854" width="7.09765625" customWidth="1"/>
    <col min="14855" max="14856" width="5.796875" customWidth="1"/>
    <col min="14857" max="14857" width="6" customWidth="1"/>
    <col min="15097" max="15097" width="3.59765625" customWidth="1"/>
    <col min="15098" max="15100" width="5.796875" customWidth="1"/>
    <col min="15101" max="15101" width="11.09765625" customWidth="1"/>
    <col min="15102" max="15109" width="5.796875" customWidth="1"/>
    <col min="15110" max="15110" width="7.09765625" customWidth="1"/>
    <col min="15111" max="15112" width="5.796875" customWidth="1"/>
    <col min="15113" max="15113" width="6" customWidth="1"/>
    <col min="15353" max="15353" width="3.59765625" customWidth="1"/>
    <col min="15354" max="15356" width="5.796875" customWidth="1"/>
    <col min="15357" max="15357" width="11.09765625" customWidth="1"/>
    <col min="15358" max="15365" width="5.796875" customWidth="1"/>
    <col min="15366" max="15366" width="7.09765625" customWidth="1"/>
    <col min="15367" max="15368" width="5.796875" customWidth="1"/>
    <col min="15369" max="15369" width="6" customWidth="1"/>
    <col min="15609" max="15609" width="3.59765625" customWidth="1"/>
    <col min="15610" max="15612" width="5.796875" customWidth="1"/>
    <col min="15613" max="15613" width="11.09765625" customWidth="1"/>
    <col min="15614" max="15621" width="5.796875" customWidth="1"/>
    <col min="15622" max="15622" width="7.09765625" customWidth="1"/>
    <col min="15623" max="15624" width="5.796875" customWidth="1"/>
    <col min="15625" max="15625" width="6" customWidth="1"/>
    <col min="15865" max="15865" width="3.59765625" customWidth="1"/>
    <col min="15866" max="15868" width="5.796875" customWidth="1"/>
    <col min="15869" max="15869" width="11.09765625" customWidth="1"/>
    <col min="15870" max="15877" width="5.796875" customWidth="1"/>
    <col min="15878" max="15878" width="7.09765625" customWidth="1"/>
    <col min="15879" max="15880" width="5.796875" customWidth="1"/>
    <col min="15881" max="15881" width="6" customWidth="1"/>
    <col min="16121" max="16121" width="3.59765625" customWidth="1"/>
    <col min="16122" max="16124" width="5.796875" customWidth="1"/>
    <col min="16125" max="16125" width="11.09765625" customWidth="1"/>
    <col min="16126" max="16133" width="5.796875" customWidth="1"/>
    <col min="16134" max="16134" width="7.09765625" customWidth="1"/>
    <col min="16135" max="16136" width="5.796875" customWidth="1"/>
    <col min="16137" max="16137" width="6" customWidth="1"/>
  </cols>
  <sheetData>
    <row r="1" spans="1:16" ht="51" customHeight="1" x14ac:dyDescent="0.25">
      <c r="A1" s="135" t="s">
        <v>203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1:16" ht="27.75" customHeight="1" thickBot="1" x14ac:dyDescent="0.5">
      <c r="A2" s="156" t="s">
        <v>215</v>
      </c>
      <c r="B2" s="156"/>
      <c r="C2" s="156"/>
      <c r="D2" s="157"/>
      <c r="E2" s="157"/>
      <c r="F2" s="157"/>
      <c r="G2" s="157"/>
      <c r="H2" s="2"/>
      <c r="I2" s="2"/>
      <c r="J2" s="2"/>
      <c r="K2" s="2"/>
      <c r="L2" s="136"/>
      <c r="M2" s="136"/>
      <c r="N2" s="2"/>
      <c r="O2" s="2"/>
      <c r="P2" s="2"/>
    </row>
    <row r="3" spans="1:16" ht="14.25" customHeight="1" thickBot="1" x14ac:dyDescent="0.3">
      <c r="A3" s="137" t="s">
        <v>37</v>
      </c>
      <c r="B3" s="137" t="s">
        <v>36</v>
      </c>
      <c r="C3" s="140" t="s">
        <v>35</v>
      </c>
      <c r="D3" s="143" t="s">
        <v>148</v>
      </c>
      <c r="E3" s="146" t="s">
        <v>149</v>
      </c>
      <c r="F3" s="149" t="s">
        <v>33</v>
      </c>
      <c r="G3" s="146" t="s">
        <v>32</v>
      </c>
      <c r="H3" s="140" t="s">
        <v>31</v>
      </c>
      <c r="I3" s="140"/>
      <c r="J3" s="140" t="s">
        <v>30</v>
      </c>
      <c r="K3" s="140"/>
      <c r="L3" s="140" t="s">
        <v>29</v>
      </c>
      <c r="M3" s="155"/>
      <c r="N3" s="143" t="s">
        <v>150</v>
      </c>
      <c r="O3" s="149" t="s">
        <v>27</v>
      </c>
      <c r="P3" s="151" t="s">
        <v>26</v>
      </c>
    </row>
    <row r="4" spans="1:16" ht="14.4" customHeight="1" thickBot="1" x14ac:dyDescent="0.3">
      <c r="A4" s="138"/>
      <c r="B4" s="138"/>
      <c r="C4" s="141"/>
      <c r="D4" s="144"/>
      <c r="E4" s="147"/>
      <c r="F4" s="150"/>
      <c r="G4" s="147"/>
      <c r="H4" s="160" t="s">
        <v>25</v>
      </c>
      <c r="I4" s="162" t="s">
        <v>24</v>
      </c>
      <c r="J4" s="164" t="s">
        <v>25</v>
      </c>
      <c r="K4" s="166" t="s">
        <v>24</v>
      </c>
      <c r="L4" s="160" t="s">
        <v>25</v>
      </c>
      <c r="M4" s="162" t="s">
        <v>24</v>
      </c>
      <c r="N4" s="144"/>
      <c r="O4" s="154"/>
      <c r="P4" s="152"/>
    </row>
    <row r="5" spans="1:16" ht="14.4" customHeight="1" thickBot="1" x14ac:dyDescent="0.3">
      <c r="A5" s="139"/>
      <c r="B5" s="139"/>
      <c r="C5" s="142"/>
      <c r="D5" s="145"/>
      <c r="E5" s="148"/>
      <c r="F5" s="150"/>
      <c r="G5" s="147"/>
      <c r="H5" s="161"/>
      <c r="I5" s="163"/>
      <c r="J5" s="165"/>
      <c r="K5" s="167"/>
      <c r="L5" s="161"/>
      <c r="M5" s="163"/>
      <c r="N5" s="144"/>
      <c r="O5" s="154"/>
      <c r="P5" s="153"/>
    </row>
    <row r="6" spans="1:16" ht="15.6" x14ac:dyDescent="0.25">
      <c r="A6" s="171" t="s">
        <v>23</v>
      </c>
      <c r="B6" s="174" t="s">
        <v>11</v>
      </c>
      <c r="C6" s="168" t="s">
        <v>7</v>
      </c>
      <c r="D6" s="24" t="s">
        <v>16</v>
      </c>
      <c r="E6" s="24" t="s">
        <v>22</v>
      </c>
      <c r="F6" s="20">
        <v>8</v>
      </c>
      <c r="G6" s="24">
        <v>6</v>
      </c>
      <c r="H6" s="20">
        <v>3</v>
      </c>
      <c r="I6" s="21">
        <v>3</v>
      </c>
      <c r="J6" s="22"/>
      <c r="K6" s="21"/>
      <c r="L6" s="22"/>
      <c r="M6" s="23"/>
      <c r="N6" s="24"/>
      <c r="O6" s="168">
        <v>14</v>
      </c>
      <c r="P6" s="158">
        <v>10</v>
      </c>
    </row>
    <row r="7" spans="1:16" ht="15.6" x14ac:dyDescent="0.25">
      <c r="A7" s="172"/>
      <c r="B7" s="175"/>
      <c r="C7" s="169"/>
      <c r="D7" s="96" t="s">
        <v>154</v>
      </c>
      <c r="E7" s="96" t="s">
        <v>46</v>
      </c>
      <c r="F7" s="46">
        <v>5</v>
      </c>
      <c r="G7" s="96">
        <v>4</v>
      </c>
      <c r="H7" s="46"/>
      <c r="I7" s="99"/>
      <c r="J7" s="98"/>
      <c r="K7" s="99">
        <v>4</v>
      </c>
      <c r="L7" s="98"/>
      <c r="M7" s="94"/>
      <c r="N7" s="55"/>
      <c r="O7" s="169"/>
      <c r="P7" s="159"/>
    </row>
    <row r="8" spans="1:16" ht="15.6" x14ac:dyDescent="0.25">
      <c r="A8" s="172"/>
      <c r="B8" s="175"/>
      <c r="C8" s="169"/>
      <c r="D8" s="33" t="s">
        <v>154</v>
      </c>
      <c r="E8" s="33" t="s">
        <v>157</v>
      </c>
      <c r="F8" s="34">
        <v>5</v>
      </c>
      <c r="G8" s="33">
        <v>4</v>
      </c>
      <c r="H8" s="34"/>
      <c r="I8" s="35"/>
      <c r="J8" s="36">
        <v>4</v>
      </c>
      <c r="K8" s="35"/>
      <c r="L8" s="36"/>
      <c r="M8" s="37"/>
      <c r="N8" s="25"/>
      <c r="O8" s="170"/>
      <c r="P8" s="159"/>
    </row>
    <row r="9" spans="1:16" ht="15.6" x14ac:dyDescent="0.25">
      <c r="A9" s="172"/>
      <c r="B9" s="175"/>
      <c r="C9" s="188" t="s">
        <v>6</v>
      </c>
      <c r="D9" s="32" t="s">
        <v>16</v>
      </c>
      <c r="E9" s="32" t="s">
        <v>21</v>
      </c>
      <c r="F9" s="58">
        <v>8</v>
      </c>
      <c r="G9" s="32">
        <v>8</v>
      </c>
      <c r="H9" s="58">
        <v>4</v>
      </c>
      <c r="I9" s="40">
        <v>4</v>
      </c>
      <c r="J9" s="39"/>
      <c r="K9" s="40"/>
      <c r="L9" s="39"/>
      <c r="M9" s="59"/>
      <c r="N9" s="32"/>
      <c r="O9" s="179">
        <v>32</v>
      </c>
      <c r="P9" s="177">
        <v>10</v>
      </c>
    </row>
    <row r="10" spans="1:16" ht="15.6" x14ac:dyDescent="0.25">
      <c r="A10" s="172"/>
      <c r="B10" s="175"/>
      <c r="C10" s="169"/>
      <c r="D10" s="96" t="s">
        <v>154</v>
      </c>
      <c r="E10" s="96" t="s">
        <v>158</v>
      </c>
      <c r="F10" s="46">
        <v>5</v>
      </c>
      <c r="G10" s="96">
        <v>4</v>
      </c>
      <c r="H10" s="46"/>
      <c r="I10" s="99"/>
      <c r="J10" s="98">
        <v>4</v>
      </c>
      <c r="K10" s="99"/>
      <c r="L10" s="98"/>
      <c r="M10" s="94"/>
      <c r="N10" s="96"/>
      <c r="O10" s="186"/>
      <c r="P10" s="159"/>
    </row>
    <row r="11" spans="1:16" ht="15.6" x14ac:dyDescent="0.25">
      <c r="A11" s="172"/>
      <c r="B11" s="175"/>
      <c r="C11" s="169"/>
      <c r="D11" s="103" t="s">
        <v>154</v>
      </c>
      <c r="E11" s="103" t="s">
        <v>159</v>
      </c>
      <c r="F11" s="46">
        <v>5</v>
      </c>
      <c r="G11" s="103">
        <v>4</v>
      </c>
      <c r="H11" s="46"/>
      <c r="I11" s="105"/>
      <c r="J11" s="104"/>
      <c r="K11" s="105">
        <v>4</v>
      </c>
      <c r="L11" s="104"/>
      <c r="M11" s="107"/>
      <c r="N11" s="103"/>
      <c r="O11" s="186"/>
      <c r="P11" s="159"/>
    </row>
    <row r="12" spans="1:16" ht="15.6" x14ac:dyDescent="0.25">
      <c r="A12" s="172"/>
      <c r="B12" s="175"/>
      <c r="C12" s="169"/>
      <c r="D12" s="103" t="s">
        <v>154</v>
      </c>
      <c r="E12" s="103" t="s">
        <v>180</v>
      </c>
      <c r="F12" s="46">
        <v>5</v>
      </c>
      <c r="G12" s="103">
        <v>6</v>
      </c>
      <c r="H12" s="46"/>
      <c r="I12" s="105"/>
      <c r="J12" s="104"/>
      <c r="K12" s="105"/>
      <c r="L12" s="104">
        <v>3</v>
      </c>
      <c r="M12" s="107">
        <v>3</v>
      </c>
      <c r="N12" s="103"/>
      <c r="O12" s="186"/>
      <c r="P12" s="159"/>
    </row>
    <row r="13" spans="1:16" ht="15.6" x14ac:dyDescent="0.25">
      <c r="A13" s="172"/>
      <c r="B13" s="175"/>
      <c r="C13" s="169"/>
      <c r="D13" s="103" t="s">
        <v>154</v>
      </c>
      <c r="E13" s="103" t="s">
        <v>181</v>
      </c>
      <c r="F13" s="46">
        <v>5</v>
      </c>
      <c r="G13" s="103">
        <v>6</v>
      </c>
      <c r="H13" s="46"/>
      <c r="I13" s="105"/>
      <c r="J13" s="104"/>
      <c r="K13" s="105"/>
      <c r="L13" s="104">
        <v>3</v>
      </c>
      <c r="M13" s="107">
        <v>3</v>
      </c>
      <c r="N13" s="103"/>
      <c r="O13" s="186"/>
      <c r="P13" s="159"/>
    </row>
    <row r="14" spans="1:16" ht="15.6" x14ac:dyDescent="0.25">
      <c r="A14" s="172"/>
      <c r="B14" s="175"/>
      <c r="C14" s="170"/>
      <c r="D14" s="38" t="s">
        <v>156</v>
      </c>
      <c r="E14" s="38" t="s">
        <v>204</v>
      </c>
      <c r="F14" s="41">
        <v>5</v>
      </c>
      <c r="G14" s="38">
        <v>4</v>
      </c>
      <c r="H14" s="41"/>
      <c r="I14" s="43"/>
      <c r="J14" s="42">
        <v>2</v>
      </c>
      <c r="K14" s="43">
        <v>2</v>
      </c>
      <c r="L14" s="42"/>
      <c r="M14" s="61"/>
      <c r="N14" s="38"/>
      <c r="O14" s="170"/>
      <c r="P14" s="181"/>
    </row>
    <row r="15" spans="1:16" ht="15.6" x14ac:dyDescent="0.25">
      <c r="A15" s="172"/>
      <c r="B15" s="175"/>
      <c r="C15" s="186" t="s">
        <v>5</v>
      </c>
      <c r="D15" s="32" t="s">
        <v>16</v>
      </c>
      <c r="E15" s="32" t="s">
        <v>20</v>
      </c>
      <c r="F15" s="32">
        <v>8</v>
      </c>
      <c r="G15" s="32">
        <v>6</v>
      </c>
      <c r="H15" s="39">
        <v>3</v>
      </c>
      <c r="I15" s="40">
        <v>3</v>
      </c>
      <c r="J15" s="39"/>
      <c r="K15" s="40"/>
      <c r="L15" s="39"/>
      <c r="M15" s="40"/>
      <c r="N15" s="32"/>
      <c r="O15" s="179">
        <v>14</v>
      </c>
      <c r="P15" s="177">
        <v>10</v>
      </c>
    </row>
    <row r="16" spans="1:16" ht="15.6" x14ac:dyDescent="0.25">
      <c r="A16" s="172"/>
      <c r="B16" s="175"/>
      <c r="C16" s="186"/>
      <c r="D16" s="96" t="s">
        <v>154</v>
      </c>
      <c r="E16" s="96" t="s">
        <v>160</v>
      </c>
      <c r="F16" s="96">
        <v>5</v>
      </c>
      <c r="G16" s="46">
        <v>4</v>
      </c>
      <c r="H16" s="98"/>
      <c r="I16" s="99"/>
      <c r="J16" s="98">
        <v>4</v>
      </c>
      <c r="K16" s="99"/>
      <c r="L16" s="98"/>
      <c r="M16" s="99"/>
      <c r="N16" s="96"/>
      <c r="O16" s="186"/>
      <c r="P16" s="159"/>
    </row>
    <row r="17" spans="1:16" ht="15.6" x14ac:dyDescent="0.25">
      <c r="A17" s="172"/>
      <c r="B17" s="175"/>
      <c r="C17" s="186"/>
      <c r="D17" s="38" t="s">
        <v>154</v>
      </c>
      <c r="E17" s="38" t="s">
        <v>161</v>
      </c>
      <c r="F17" s="38">
        <v>5</v>
      </c>
      <c r="G17" s="41">
        <v>4</v>
      </c>
      <c r="H17" s="42"/>
      <c r="I17" s="43"/>
      <c r="J17" s="44"/>
      <c r="K17" s="43">
        <v>4</v>
      </c>
      <c r="L17" s="42"/>
      <c r="M17" s="43"/>
      <c r="N17" s="38"/>
      <c r="O17" s="170"/>
      <c r="P17" s="181"/>
    </row>
    <row r="18" spans="1:16" ht="15.6" x14ac:dyDescent="0.25">
      <c r="A18" s="172"/>
      <c r="B18" s="176"/>
      <c r="C18" s="45" t="s">
        <v>19</v>
      </c>
      <c r="D18" s="96" t="s">
        <v>16</v>
      </c>
      <c r="E18" s="96" t="s">
        <v>18</v>
      </c>
      <c r="F18" s="46">
        <v>6</v>
      </c>
      <c r="G18" s="110">
        <v>6</v>
      </c>
      <c r="H18" s="98">
        <v>3</v>
      </c>
      <c r="I18" s="99">
        <v>3</v>
      </c>
      <c r="J18" s="98"/>
      <c r="K18" s="49"/>
      <c r="L18" s="98"/>
      <c r="M18" s="94"/>
      <c r="N18" s="96"/>
      <c r="O18" s="45">
        <v>6</v>
      </c>
      <c r="P18" s="51">
        <v>6</v>
      </c>
    </row>
    <row r="19" spans="1:16" ht="46.8" x14ac:dyDescent="0.25">
      <c r="A19" s="172"/>
      <c r="B19" s="178" t="s">
        <v>4</v>
      </c>
      <c r="C19" s="112" t="s">
        <v>151</v>
      </c>
      <c r="D19" s="45" t="s">
        <v>16</v>
      </c>
      <c r="E19" s="45" t="s">
        <v>17</v>
      </c>
      <c r="F19" s="95">
        <v>8</v>
      </c>
      <c r="G19" s="113">
        <v>6</v>
      </c>
      <c r="H19" s="87">
        <v>3</v>
      </c>
      <c r="I19" s="88">
        <v>3</v>
      </c>
      <c r="J19" s="87"/>
      <c r="K19" s="88"/>
      <c r="L19" s="114"/>
      <c r="M19" s="115"/>
      <c r="N19" s="45"/>
      <c r="O19" s="92">
        <v>6</v>
      </c>
      <c r="P19" s="97">
        <v>10</v>
      </c>
    </row>
    <row r="20" spans="1:16" ht="15.6" x14ac:dyDescent="0.25">
      <c r="A20" s="172"/>
      <c r="B20" s="175"/>
      <c r="C20" s="169" t="s">
        <v>3</v>
      </c>
      <c r="D20" s="55" t="s">
        <v>16</v>
      </c>
      <c r="E20" s="55" t="s">
        <v>15</v>
      </c>
      <c r="F20" s="55">
        <v>8</v>
      </c>
      <c r="G20" s="111">
        <v>8</v>
      </c>
      <c r="H20" s="31">
        <v>4</v>
      </c>
      <c r="I20" s="30">
        <v>4</v>
      </c>
      <c r="J20" s="31"/>
      <c r="K20" s="30"/>
      <c r="L20" s="56"/>
      <c r="M20" s="57"/>
      <c r="N20" s="55"/>
      <c r="O20" s="179">
        <v>48</v>
      </c>
      <c r="P20" s="177">
        <v>12</v>
      </c>
    </row>
    <row r="21" spans="1:16" ht="15.6" x14ac:dyDescent="0.25">
      <c r="A21" s="172"/>
      <c r="B21" s="175"/>
      <c r="C21" s="169"/>
      <c r="D21" s="33" t="s">
        <v>16</v>
      </c>
      <c r="E21" s="33" t="s">
        <v>162</v>
      </c>
      <c r="F21" s="34">
        <v>2</v>
      </c>
      <c r="G21" s="33">
        <v>2</v>
      </c>
      <c r="H21" s="104">
        <v>1</v>
      </c>
      <c r="I21" s="105">
        <v>1</v>
      </c>
      <c r="J21" s="104"/>
      <c r="K21" s="105"/>
      <c r="L21" s="125"/>
      <c r="M21" s="126"/>
      <c r="N21" s="103"/>
      <c r="O21" s="186"/>
      <c r="P21" s="159"/>
    </row>
    <row r="22" spans="1:16" ht="15.6" x14ac:dyDescent="0.25">
      <c r="A22" s="172"/>
      <c r="B22" s="175"/>
      <c r="C22" s="169"/>
      <c r="D22" s="55" t="s">
        <v>154</v>
      </c>
      <c r="E22" s="55" t="s">
        <v>172</v>
      </c>
      <c r="F22" s="29">
        <v>5</v>
      </c>
      <c r="G22" s="55">
        <v>4</v>
      </c>
      <c r="H22" s="104"/>
      <c r="I22" s="105"/>
      <c r="J22" s="104">
        <v>2</v>
      </c>
      <c r="K22" s="105">
        <v>2</v>
      </c>
      <c r="L22" s="125"/>
      <c r="M22" s="126"/>
      <c r="N22" s="103"/>
      <c r="O22" s="186"/>
      <c r="P22" s="159"/>
    </row>
    <row r="23" spans="1:16" ht="15.6" x14ac:dyDescent="0.25">
      <c r="A23" s="172"/>
      <c r="B23" s="175"/>
      <c r="C23" s="169"/>
      <c r="D23" s="25" t="s">
        <v>154</v>
      </c>
      <c r="E23" s="25" t="s">
        <v>173</v>
      </c>
      <c r="F23" s="26">
        <v>5</v>
      </c>
      <c r="G23" s="25">
        <v>4</v>
      </c>
      <c r="H23" s="104"/>
      <c r="I23" s="105"/>
      <c r="J23" s="104">
        <v>2</v>
      </c>
      <c r="K23" s="105">
        <v>2</v>
      </c>
      <c r="L23" s="125"/>
      <c r="M23" s="126"/>
      <c r="N23" s="103"/>
      <c r="O23" s="186"/>
      <c r="P23" s="159"/>
    </row>
    <row r="24" spans="1:16" ht="15.6" x14ac:dyDescent="0.25">
      <c r="A24" s="172"/>
      <c r="B24" s="175"/>
      <c r="C24" s="169"/>
      <c r="D24" s="25" t="s">
        <v>154</v>
      </c>
      <c r="E24" s="25" t="s">
        <v>174</v>
      </c>
      <c r="F24" s="26">
        <v>5</v>
      </c>
      <c r="G24" s="25">
        <v>4</v>
      </c>
      <c r="H24" s="131"/>
      <c r="I24" s="105"/>
      <c r="J24" s="104">
        <v>2</v>
      </c>
      <c r="K24" s="105">
        <v>2</v>
      </c>
      <c r="L24" s="125"/>
      <c r="M24" s="126"/>
      <c r="N24" s="103"/>
      <c r="O24" s="186"/>
      <c r="P24" s="159"/>
    </row>
    <row r="25" spans="1:16" ht="15.6" x14ac:dyDescent="0.25">
      <c r="A25" s="172"/>
      <c r="B25" s="175"/>
      <c r="C25" s="184"/>
      <c r="D25" s="27" t="s">
        <v>154</v>
      </c>
      <c r="E25" s="25" t="s">
        <v>175</v>
      </c>
      <c r="F25" s="26">
        <v>5</v>
      </c>
      <c r="G25" s="25">
        <v>4</v>
      </c>
      <c r="H25" s="131"/>
      <c r="I25" s="105"/>
      <c r="J25" s="104">
        <v>2</v>
      </c>
      <c r="K25" s="105">
        <v>2</v>
      </c>
      <c r="L25" s="125"/>
      <c r="M25" s="126"/>
      <c r="N25" s="103"/>
      <c r="O25" s="186"/>
      <c r="P25" s="159"/>
    </row>
    <row r="26" spans="1:16" ht="15.6" x14ac:dyDescent="0.25">
      <c r="A26" s="172"/>
      <c r="B26" s="175"/>
      <c r="C26" s="169"/>
      <c r="D26" s="103" t="s">
        <v>156</v>
      </c>
      <c r="E26" s="103" t="s">
        <v>194</v>
      </c>
      <c r="F26" s="46">
        <v>5</v>
      </c>
      <c r="G26" s="117">
        <v>4</v>
      </c>
      <c r="H26" s="131"/>
      <c r="I26" s="105"/>
      <c r="J26" s="104"/>
      <c r="K26" s="105"/>
      <c r="L26" s="125">
        <v>2</v>
      </c>
      <c r="M26" s="126">
        <v>2</v>
      </c>
      <c r="N26" s="103"/>
      <c r="O26" s="186"/>
      <c r="P26" s="159"/>
    </row>
    <row r="27" spans="1:16" ht="15.6" x14ac:dyDescent="0.25">
      <c r="A27" s="172"/>
      <c r="B27" s="175"/>
      <c r="C27" s="169"/>
      <c r="D27" s="55" t="s">
        <v>40</v>
      </c>
      <c r="E27" s="55" t="s">
        <v>182</v>
      </c>
      <c r="F27" s="29">
        <v>5</v>
      </c>
      <c r="G27" s="55">
        <v>6</v>
      </c>
      <c r="H27" s="104"/>
      <c r="I27" s="105"/>
      <c r="J27" s="104"/>
      <c r="K27" s="105"/>
      <c r="L27" s="125">
        <v>3</v>
      </c>
      <c r="M27" s="126">
        <v>3</v>
      </c>
      <c r="N27" s="103"/>
      <c r="O27" s="186"/>
      <c r="P27" s="159"/>
    </row>
    <row r="28" spans="1:16" ht="15.6" x14ac:dyDescent="0.25">
      <c r="A28" s="172"/>
      <c r="B28" s="175"/>
      <c r="C28" s="169"/>
      <c r="D28" s="55" t="s">
        <v>156</v>
      </c>
      <c r="E28" s="55" t="s">
        <v>183</v>
      </c>
      <c r="F28" s="29">
        <v>5</v>
      </c>
      <c r="G28" s="55">
        <v>6</v>
      </c>
      <c r="H28" s="104"/>
      <c r="I28" s="105"/>
      <c r="J28" s="104"/>
      <c r="K28" s="105"/>
      <c r="L28" s="125">
        <v>3</v>
      </c>
      <c r="M28" s="126">
        <v>3</v>
      </c>
      <c r="N28" s="103"/>
      <c r="O28" s="186"/>
      <c r="P28" s="159"/>
    </row>
    <row r="29" spans="1:16" ht="15.6" x14ac:dyDescent="0.25">
      <c r="A29" s="172"/>
      <c r="B29" s="175"/>
      <c r="C29" s="169"/>
      <c r="D29" s="55" t="s">
        <v>156</v>
      </c>
      <c r="E29" s="55" t="s">
        <v>184</v>
      </c>
      <c r="F29" s="29">
        <v>5</v>
      </c>
      <c r="G29" s="55">
        <v>6</v>
      </c>
      <c r="H29" s="104"/>
      <c r="I29" s="105"/>
      <c r="J29" s="104"/>
      <c r="K29" s="105"/>
      <c r="L29" s="125">
        <v>3</v>
      </c>
      <c r="M29" s="126">
        <v>3</v>
      </c>
      <c r="N29" s="103"/>
      <c r="O29" s="186"/>
      <c r="P29" s="159"/>
    </row>
    <row r="30" spans="1:16" ht="15.6" x14ac:dyDescent="0.25">
      <c r="A30" s="172"/>
      <c r="B30" s="178" t="s">
        <v>14</v>
      </c>
      <c r="C30" s="179" t="s">
        <v>13</v>
      </c>
      <c r="D30" s="32" t="s">
        <v>154</v>
      </c>
      <c r="E30" s="32" t="s">
        <v>163</v>
      </c>
      <c r="F30" s="58">
        <v>5</v>
      </c>
      <c r="G30" s="32">
        <v>4</v>
      </c>
      <c r="H30" s="58">
        <v>2</v>
      </c>
      <c r="I30" s="40">
        <v>2</v>
      </c>
      <c r="J30" s="39"/>
      <c r="K30" s="40"/>
      <c r="L30" s="39"/>
      <c r="M30" s="59"/>
      <c r="N30" s="32"/>
      <c r="O30" s="179">
        <v>10</v>
      </c>
      <c r="P30" s="177">
        <v>10</v>
      </c>
    </row>
    <row r="31" spans="1:16" ht="15.6" x14ac:dyDescent="0.25">
      <c r="A31" s="172"/>
      <c r="B31" s="175"/>
      <c r="C31" s="180"/>
      <c r="D31" s="38" t="s">
        <v>154</v>
      </c>
      <c r="E31" s="38" t="s">
        <v>164</v>
      </c>
      <c r="F31" s="41">
        <v>5</v>
      </c>
      <c r="G31" s="38">
        <v>6</v>
      </c>
      <c r="H31" s="60"/>
      <c r="I31" s="43"/>
      <c r="J31" s="42">
        <v>2</v>
      </c>
      <c r="K31" s="43">
        <v>2</v>
      </c>
      <c r="L31" s="42">
        <v>1</v>
      </c>
      <c r="M31" s="61">
        <v>1</v>
      </c>
      <c r="N31" s="38"/>
      <c r="O31" s="170"/>
      <c r="P31" s="181"/>
    </row>
    <row r="32" spans="1:16" ht="15.6" x14ac:dyDescent="0.25">
      <c r="A32" s="172"/>
      <c r="B32" s="175"/>
      <c r="C32" s="179" t="s">
        <v>12</v>
      </c>
      <c r="D32" s="55" t="s">
        <v>154</v>
      </c>
      <c r="E32" s="55" t="s">
        <v>165</v>
      </c>
      <c r="F32" s="46">
        <v>5</v>
      </c>
      <c r="G32" s="96">
        <v>3</v>
      </c>
      <c r="H32" s="46">
        <v>3</v>
      </c>
      <c r="I32" s="99" t="s">
        <v>168</v>
      </c>
      <c r="J32" s="98"/>
      <c r="K32" s="99"/>
      <c r="L32" s="98"/>
      <c r="M32" s="94"/>
      <c r="N32" s="188" t="s">
        <v>169</v>
      </c>
      <c r="O32" s="179">
        <v>6</v>
      </c>
      <c r="P32" s="182">
        <v>10</v>
      </c>
    </row>
    <row r="33" spans="1:16" ht="15.6" x14ac:dyDescent="0.25">
      <c r="A33" s="172"/>
      <c r="B33" s="176"/>
      <c r="C33" s="180"/>
      <c r="D33" s="33" t="s">
        <v>154</v>
      </c>
      <c r="E33" s="33" t="s">
        <v>166</v>
      </c>
      <c r="F33" s="34">
        <v>5</v>
      </c>
      <c r="G33" s="33">
        <v>3</v>
      </c>
      <c r="H33" s="34" t="s">
        <v>168</v>
      </c>
      <c r="I33" s="35">
        <v>3</v>
      </c>
      <c r="J33" s="36"/>
      <c r="K33" s="35"/>
      <c r="L33" s="36"/>
      <c r="M33" s="37"/>
      <c r="N33" s="170"/>
      <c r="O33" s="170"/>
      <c r="P33" s="183"/>
    </row>
    <row r="34" spans="1:16" ht="15.6" x14ac:dyDescent="0.25">
      <c r="A34" s="172"/>
      <c r="B34" s="175" t="s">
        <v>147</v>
      </c>
      <c r="C34" s="179" t="s">
        <v>155</v>
      </c>
      <c r="D34" s="122" t="s">
        <v>154</v>
      </c>
      <c r="E34" s="116" t="s">
        <v>130</v>
      </c>
      <c r="F34" s="52">
        <v>5</v>
      </c>
      <c r="G34" s="100">
        <v>4</v>
      </c>
      <c r="H34" s="52">
        <v>2</v>
      </c>
      <c r="I34" s="54">
        <v>2</v>
      </c>
      <c r="J34" s="53"/>
      <c r="K34" s="54"/>
      <c r="L34" s="53"/>
      <c r="M34" s="93"/>
      <c r="N34" s="32"/>
      <c r="O34" s="179">
        <v>10</v>
      </c>
      <c r="P34" s="182">
        <v>16</v>
      </c>
    </row>
    <row r="35" spans="1:16" ht="15.6" x14ac:dyDescent="0.25">
      <c r="A35" s="172"/>
      <c r="B35" s="175"/>
      <c r="C35" s="186"/>
      <c r="D35" s="132" t="s">
        <v>154</v>
      </c>
      <c r="E35" s="25" t="s">
        <v>167</v>
      </c>
      <c r="F35" s="26">
        <v>5</v>
      </c>
      <c r="G35" s="25">
        <v>2</v>
      </c>
      <c r="H35" s="26">
        <v>1</v>
      </c>
      <c r="I35" s="27">
        <v>1</v>
      </c>
      <c r="J35" s="28"/>
      <c r="K35" s="105"/>
      <c r="L35" s="104"/>
      <c r="M35" s="107"/>
      <c r="N35" s="103"/>
      <c r="O35" s="186"/>
      <c r="P35" s="192"/>
    </row>
    <row r="36" spans="1:16" ht="16.2" thickBot="1" x14ac:dyDescent="0.3">
      <c r="A36" s="173"/>
      <c r="B36" s="185"/>
      <c r="C36" s="187"/>
      <c r="D36" s="121" t="s">
        <v>156</v>
      </c>
      <c r="E36" s="118" t="s">
        <v>205</v>
      </c>
      <c r="F36" s="120">
        <v>5</v>
      </c>
      <c r="G36" s="118">
        <v>4</v>
      </c>
      <c r="H36" s="120"/>
      <c r="I36" s="129"/>
      <c r="J36" s="130"/>
      <c r="K36" s="63"/>
      <c r="L36" s="64">
        <v>2</v>
      </c>
      <c r="M36" s="65">
        <v>2</v>
      </c>
      <c r="N36" s="62"/>
      <c r="O36" s="199"/>
      <c r="P36" s="193"/>
    </row>
    <row r="37" spans="1:16" ht="15.6" x14ac:dyDescent="0.25">
      <c r="A37" s="172"/>
      <c r="B37" s="196" t="s">
        <v>4</v>
      </c>
      <c r="C37" s="179" t="s">
        <v>208</v>
      </c>
      <c r="D37" s="32" t="s">
        <v>154</v>
      </c>
      <c r="E37" s="32" t="s">
        <v>170</v>
      </c>
      <c r="F37" s="32">
        <v>5</v>
      </c>
      <c r="G37" s="32">
        <v>4</v>
      </c>
      <c r="H37" s="58"/>
      <c r="I37" s="66"/>
      <c r="J37" s="234" t="s">
        <v>211</v>
      </c>
      <c r="K37" s="234" t="s">
        <v>211</v>
      </c>
      <c r="L37" s="67"/>
      <c r="M37" s="68"/>
      <c r="N37" s="32"/>
      <c r="O37" s="168">
        <v>4</v>
      </c>
      <c r="P37" s="200"/>
    </row>
    <row r="38" spans="1:16" ht="15.6" x14ac:dyDescent="0.25">
      <c r="A38" s="172"/>
      <c r="B38" s="197"/>
      <c r="C38" s="186"/>
      <c r="D38" s="25" t="s">
        <v>154</v>
      </c>
      <c r="E38" s="25" t="s">
        <v>171</v>
      </c>
      <c r="F38" s="26">
        <v>5</v>
      </c>
      <c r="G38" s="25">
        <v>4</v>
      </c>
      <c r="H38" s="26"/>
      <c r="I38" s="69"/>
      <c r="J38" s="234"/>
      <c r="K38" s="234"/>
      <c r="L38" s="70"/>
      <c r="M38" s="71"/>
      <c r="N38" s="25"/>
      <c r="O38" s="169"/>
      <c r="P38" s="200"/>
    </row>
    <row r="39" spans="1:16" ht="15.6" x14ac:dyDescent="0.25">
      <c r="A39" s="172"/>
      <c r="B39" s="197"/>
      <c r="C39" s="186"/>
      <c r="D39" s="25" t="s">
        <v>154</v>
      </c>
      <c r="E39" s="25" t="s">
        <v>216</v>
      </c>
      <c r="F39" s="26">
        <v>5</v>
      </c>
      <c r="G39" s="25">
        <v>4</v>
      </c>
      <c r="H39" s="26"/>
      <c r="I39" s="69"/>
      <c r="J39" s="234"/>
      <c r="K39" s="234"/>
      <c r="L39" s="72"/>
      <c r="M39" s="73"/>
      <c r="N39" s="25"/>
      <c r="O39" s="169"/>
      <c r="P39" s="200"/>
    </row>
    <row r="40" spans="1:16" ht="15.6" x14ac:dyDescent="0.25">
      <c r="A40" s="172"/>
      <c r="B40" s="198"/>
      <c r="C40" s="180"/>
      <c r="D40" s="38" t="s">
        <v>154</v>
      </c>
      <c r="E40" s="38" t="s">
        <v>217</v>
      </c>
      <c r="F40" s="41">
        <v>5</v>
      </c>
      <c r="G40" s="38">
        <v>4</v>
      </c>
      <c r="H40" s="41"/>
      <c r="I40" s="74"/>
      <c r="J40" s="234"/>
      <c r="K40" s="234"/>
      <c r="L40" s="75"/>
      <c r="M40" s="76"/>
      <c r="N40" s="25"/>
      <c r="O40" s="169"/>
      <c r="P40" s="200"/>
    </row>
    <row r="41" spans="1:16" ht="16.5" customHeight="1" x14ac:dyDescent="0.25">
      <c r="A41" s="172"/>
      <c r="B41" s="175" t="s">
        <v>185</v>
      </c>
      <c r="C41" s="186" t="s">
        <v>10</v>
      </c>
      <c r="D41" s="55" t="s">
        <v>154</v>
      </c>
      <c r="E41" s="55" t="s">
        <v>116</v>
      </c>
      <c r="F41" s="29">
        <v>5</v>
      </c>
      <c r="G41" s="55">
        <v>6</v>
      </c>
      <c r="H41" s="58"/>
      <c r="I41" s="40"/>
      <c r="J41" s="230" t="s">
        <v>176</v>
      </c>
      <c r="K41" s="232" t="s">
        <v>176</v>
      </c>
      <c r="L41" s="39"/>
      <c r="M41" s="40"/>
      <c r="N41" s="32"/>
      <c r="O41" s="169">
        <v>6</v>
      </c>
      <c r="P41" s="200"/>
    </row>
    <row r="42" spans="1:16" ht="16.2" thickBot="1" x14ac:dyDescent="0.3">
      <c r="A42" s="172"/>
      <c r="B42" s="175"/>
      <c r="C42" s="186"/>
      <c r="D42" s="25" t="s">
        <v>154</v>
      </c>
      <c r="E42" s="25" t="s">
        <v>126</v>
      </c>
      <c r="F42" s="26">
        <v>5</v>
      </c>
      <c r="G42" s="25">
        <v>6</v>
      </c>
      <c r="H42" s="26"/>
      <c r="I42" s="27"/>
      <c r="J42" s="231"/>
      <c r="K42" s="233"/>
      <c r="L42" s="28"/>
      <c r="M42" s="27"/>
      <c r="N42" s="25"/>
      <c r="O42" s="199"/>
      <c r="P42" s="200"/>
    </row>
    <row r="43" spans="1:16" ht="13.5" customHeight="1" x14ac:dyDescent="0.25">
      <c r="A43" s="171" t="s">
        <v>9</v>
      </c>
      <c r="B43" s="189" t="s">
        <v>8</v>
      </c>
      <c r="C43" s="168" t="s">
        <v>7</v>
      </c>
      <c r="D43" s="24" t="s">
        <v>154</v>
      </c>
      <c r="E43" s="24" t="s">
        <v>178</v>
      </c>
      <c r="F43" s="20">
        <v>5</v>
      </c>
      <c r="G43" s="24">
        <v>6</v>
      </c>
      <c r="H43" s="20"/>
      <c r="I43" s="21"/>
      <c r="J43" s="77"/>
      <c r="K43" s="23"/>
      <c r="L43" s="235" t="s">
        <v>176</v>
      </c>
      <c r="M43" s="174" t="s">
        <v>176</v>
      </c>
      <c r="N43" s="24"/>
      <c r="O43" s="168">
        <v>18</v>
      </c>
      <c r="P43" s="227"/>
    </row>
    <row r="44" spans="1:16" ht="15.6" x14ac:dyDescent="0.25">
      <c r="A44" s="172"/>
      <c r="B44" s="190"/>
      <c r="C44" s="170"/>
      <c r="D44" s="38" t="s">
        <v>154</v>
      </c>
      <c r="E44" s="38" t="s">
        <v>179</v>
      </c>
      <c r="F44" s="60">
        <v>5</v>
      </c>
      <c r="G44" s="102">
        <v>6</v>
      </c>
      <c r="H44" s="60"/>
      <c r="I44" s="79"/>
      <c r="J44" s="123"/>
      <c r="K44" s="128"/>
      <c r="L44" s="170"/>
      <c r="M44" s="236"/>
      <c r="N44" s="38"/>
      <c r="O44" s="169"/>
      <c r="P44" s="200"/>
    </row>
    <row r="45" spans="1:16" ht="15.6" x14ac:dyDescent="0.25">
      <c r="A45" s="172"/>
      <c r="B45" s="190"/>
      <c r="C45" s="101" t="s">
        <v>206</v>
      </c>
      <c r="D45" s="38" t="s">
        <v>177</v>
      </c>
      <c r="E45" s="38" t="s">
        <v>188</v>
      </c>
      <c r="F45" s="41">
        <v>5</v>
      </c>
      <c r="G45" s="38">
        <v>4</v>
      </c>
      <c r="H45" s="41"/>
      <c r="I45" s="74"/>
      <c r="J45" s="41"/>
      <c r="K45" s="127"/>
      <c r="L45" s="186" t="s">
        <v>210</v>
      </c>
      <c r="M45" s="186" t="s">
        <v>210</v>
      </c>
      <c r="N45" s="119" t="s">
        <v>202</v>
      </c>
      <c r="O45" s="169"/>
      <c r="P45" s="200"/>
    </row>
    <row r="46" spans="1:16" ht="15.6" x14ac:dyDescent="0.25">
      <c r="A46" s="172"/>
      <c r="B46" s="191"/>
      <c r="C46" s="106" t="s">
        <v>186</v>
      </c>
      <c r="D46" s="55" t="s">
        <v>187</v>
      </c>
      <c r="E46" s="55" t="s">
        <v>189</v>
      </c>
      <c r="F46" s="29">
        <v>5</v>
      </c>
      <c r="G46" s="55">
        <v>4</v>
      </c>
      <c r="H46" s="108"/>
      <c r="I46" s="30"/>
      <c r="J46" s="108"/>
      <c r="K46" s="30"/>
      <c r="L46" s="169"/>
      <c r="M46" s="169"/>
      <c r="N46" s="55"/>
      <c r="O46" s="169"/>
      <c r="P46" s="200"/>
    </row>
    <row r="47" spans="1:16" ht="15.6" x14ac:dyDescent="0.25">
      <c r="A47" s="172"/>
      <c r="B47" s="223" t="s">
        <v>190</v>
      </c>
      <c r="C47" s="179" t="s">
        <v>209</v>
      </c>
      <c r="D47" s="96" t="s">
        <v>156</v>
      </c>
      <c r="E47" s="96" t="s">
        <v>191</v>
      </c>
      <c r="F47" s="46">
        <v>5</v>
      </c>
      <c r="G47" s="96">
        <v>4</v>
      </c>
      <c r="H47" s="109"/>
      <c r="I47" s="99"/>
      <c r="J47" s="109"/>
      <c r="K47" s="99"/>
      <c r="L47" s="169"/>
      <c r="M47" s="169"/>
      <c r="N47" s="96"/>
      <c r="O47" s="169"/>
      <c r="P47" s="200"/>
    </row>
    <row r="48" spans="1:16" ht="15.6" x14ac:dyDescent="0.25">
      <c r="A48" s="172"/>
      <c r="B48" s="229"/>
      <c r="C48" s="186"/>
      <c r="D48" s="96" t="s">
        <v>156</v>
      </c>
      <c r="E48" s="96" t="s">
        <v>192</v>
      </c>
      <c r="F48" s="46">
        <v>5</v>
      </c>
      <c r="G48" s="96">
        <v>4</v>
      </c>
      <c r="H48" s="109"/>
      <c r="I48" s="99"/>
      <c r="J48" s="109"/>
      <c r="K48" s="99"/>
      <c r="L48" s="169"/>
      <c r="M48" s="169"/>
      <c r="N48" s="96"/>
      <c r="O48" s="169"/>
      <c r="P48" s="200"/>
    </row>
    <row r="49" spans="1:17" ht="15.6" x14ac:dyDescent="0.25">
      <c r="A49" s="172"/>
      <c r="B49" s="229"/>
      <c r="C49" s="180"/>
      <c r="D49" s="102" t="s">
        <v>156</v>
      </c>
      <c r="E49" s="102" t="s">
        <v>193</v>
      </c>
      <c r="F49" s="60">
        <v>5</v>
      </c>
      <c r="G49" s="102">
        <v>4</v>
      </c>
      <c r="H49" s="124"/>
      <c r="I49" s="79"/>
      <c r="J49" s="124"/>
      <c r="K49" s="79"/>
      <c r="L49" s="169"/>
      <c r="M49" s="169"/>
      <c r="N49" s="102"/>
      <c r="O49" s="169"/>
      <c r="P49" s="200"/>
    </row>
    <row r="50" spans="1:17" ht="15.6" x14ac:dyDescent="0.25">
      <c r="A50" s="172"/>
      <c r="B50" s="229"/>
      <c r="C50" s="186" t="s">
        <v>207</v>
      </c>
      <c r="D50" s="96" t="s">
        <v>156</v>
      </c>
      <c r="E50" s="96" t="s">
        <v>195</v>
      </c>
      <c r="F50" s="46">
        <v>5</v>
      </c>
      <c r="G50" s="96">
        <v>4</v>
      </c>
      <c r="H50" s="109"/>
      <c r="I50" s="99"/>
      <c r="J50" s="109"/>
      <c r="K50" s="99"/>
      <c r="L50" s="169"/>
      <c r="M50" s="169"/>
      <c r="N50" s="25" t="s">
        <v>202</v>
      </c>
      <c r="O50" s="169"/>
      <c r="P50" s="200"/>
    </row>
    <row r="51" spans="1:17" ht="15.6" x14ac:dyDescent="0.25">
      <c r="A51" s="172"/>
      <c r="B51" s="229"/>
      <c r="C51" s="186"/>
      <c r="D51" s="96" t="s">
        <v>156</v>
      </c>
      <c r="E51" s="96" t="s">
        <v>196</v>
      </c>
      <c r="F51" s="46">
        <v>5</v>
      </c>
      <c r="G51" s="96">
        <v>4</v>
      </c>
      <c r="H51" s="109"/>
      <c r="I51" s="99"/>
      <c r="J51" s="109"/>
      <c r="K51" s="99"/>
      <c r="L51" s="169"/>
      <c r="M51" s="169"/>
      <c r="N51" s="25" t="s">
        <v>202</v>
      </c>
      <c r="O51" s="169"/>
      <c r="P51" s="200"/>
    </row>
    <row r="52" spans="1:17" ht="15.6" x14ac:dyDescent="0.25">
      <c r="A52" s="172"/>
      <c r="B52" s="229"/>
      <c r="C52" s="186"/>
      <c r="D52" s="96" t="s">
        <v>156</v>
      </c>
      <c r="E52" s="96" t="s">
        <v>197</v>
      </c>
      <c r="F52" s="46">
        <v>5</v>
      </c>
      <c r="G52" s="96">
        <v>4</v>
      </c>
      <c r="H52" s="109"/>
      <c r="I52" s="99"/>
      <c r="J52" s="109"/>
      <c r="K52" s="99"/>
      <c r="L52" s="169"/>
      <c r="M52" s="169"/>
      <c r="N52" s="25" t="s">
        <v>202</v>
      </c>
      <c r="O52" s="169"/>
      <c r="P52" s="200"/>
    </row>
    <row r="53" spans="1:17" ht="15.6" x14ac:dyDescent="0.25">
      <c r="A53" s="172"/>
      <c r="B53" s="229"/>
      <c r="C53" s="186"/>
      <c r="D53" s="96" t="s">
        <v>156</v>
      </c>
      <c r="E53" s="96" t="s">
        <v>198</v>
      </c>
      <c r="F53" s="46">
        <v>5</v>
      </c>
      <c r="G53" s="96">
        <v>4</v>
      </c>
      <c r="H53" s="109"/>
      <c r="I53" s="99"/>
      <c r="J53" s="109"/>
      <c r="K53" s="99"/>
      <c r="L53" s="169"/>
      <c r="M53" s="169"/>
      <c r="N53" s="25" t="s">
        <v>202</v>
      </c>
      <c r="O53" s="169"/>
      <c r="P53" s="200"/>
    </row>
    <row r="54" spans="1:17" ht="15.6" x14ac:dyDescent="0.25">
      <c r="A54" s="172"/>
      <c r="B54" s="229"/>
      <c r="C54" s="180"/>
      <c r="D54" s="119" t="s">
        <v>156</v>
      </c>
      <c r="E54" s="119" t="s">
        <v>199</v>
      </c>
      <c r="F54" s="60">
        <v>5</v>
      </c>
      <c r="G54" s="119">
        <v>4</v>
      </c>
      <c r="H54" s="124"/>
      <c r="I54" s="79"/>
      <c r="J54" s="124"/>
      <c r="K54" s="79"/>
      <c r="L54" s="169"/>
      <c r="M54" s="169"/>
      <c r="N54" s="38" t="s">
        <v>202</v>
      </c>
      <c r="O54" s="169"/>
      <c r="P54" s="200"/>
    </row>
    <row r="55" spans="1:17" ht="15.6" x14ac:dyDescent="0.25">
      <c r="A55" s="172"/>
      <c r="B55" s="195" t="s">
        <v>213</v>
      </c>
      <c r="C55" s="186" t="s">
        <v>214</v>
      </c>
      <c r="D55" s="55" t="s">
        <v>156</v>
      </c>
      <c r="E55" s="55" t="s">
        <v>200</v>
      </c>
      <c r="F55" s="29">
        <v>5</v>
      </c>
      <c r="G55" s="55">
        <v>4</v>
      </c>
      <c r="H55" s="29"/>
      <c r="I55" s="30"/>
      <c r="J55" s="29"/>
      <c r="K55" s="30"/>
      <c r="L55" s="169"/>
      <c r="M55" s="169"/>
      <c r="N55" s="55"/>
      <c r="O55" s="169"/>
      <c r="P55" s="200"/>
    </row>
    <row r="56" spans="1:17" ht="16.2" thickBot="1" x14ac:dyDescent="0.4">
      <c r="A56" s="172"/>
      <c r="B56" s="195"/>
      <c r="C56" s="180"/>
      <c r="D56" s="38" t="s">
        <v>156</v>
      </c>
      <c r="E56" s="38" t="s">
        <v>201</v>
      </c>
      <c r="F56" s="41">
        <v>5</v>
      </c>
      <c r="G56" s="62">
        <v>4</v>
      </c>
      <c r="H56" s="133"/>
      <c r="I56" s="134"/>
      <c r="J56" s="133"/>
      <c r="K56" s="134"/>
      <c r="L56" s="199"/>
      <c r="M56" s="199"/>
      <c r="N56" s="62"/>
      <c r="O56" s="199"/>
      <c r="P56" s="228"/>
    </row>
    <row r="57" spans="1:17" ht="17.25" customHeight="1" x14ac:dyDescent="0.35">
      <c r="A57" s="210" t="s">
        <v>152</v>
      </c>
      <c r="B57" s="211"/>
      <c r="C57" s="211"/>
      <c r="D57" s="211"/>
      <c r="E57" s="211"/>
      <c r="F57" s="212"/>
      <c r="G57" s="19"/>
      <c r="H57" s="78">
        <f>SUM(H6:H56)</f>
        <v>29</v>
      </c>
      <c r="I57" s="79">
        <f>SUM(I6:I56)</f>
        <v>29</v>
      </c>
      <c r="J57" s="80">
        <v>29</v>
      </c>
      <c r="K57" s="79">
        <v>29</v>
      </c>
      <c r="L57" s="80">
        <v>29</v>
      </c>
      <c r="M57" s="81">
        <v>29</v>
      </c>
      <c r="N57" s="82"/>
      <c r="O57" s="60">
        <f>SUM(H57:M57)</f>
        <v>174</v>
      </c>
      <c r="P57" s="83">
        <f>SUM(P6:P56)</f>
        <v>94</v>
      </c>
      <c r="Q57" s="3"/>
    </row>
    <row r="58" spans="1:17" ht="15.6" x14ac:dyDescent="0.35">
      <c r="A58" s="213" t="s">
        <v>2</v>
      </c>
      <c r="B58" s="214"/>
      <c r="C58" s="214"/>
      <c r="D58" s="214"/>
      <c r="E58" s="214"/>
      <c r="F58" s="195"/>
      <c r="G58" s="84">
        <v>18</v>
      </c>
      <c r="H58" s="46">
        <v>3</v>
      </c>
      <c r="I58" s="48">
        <v>3</v>
      </c>
      <c r="J58" s="47">
        <v>3</v>
      </c>
      <c r="K58" s="48">
        <v>3</v>
      </c>
      <c r="L58" s="47">
        <v>3</v>
      </c>
      <c r="M58" s="50">
        <v>3</v>
      </c>
      <c r="N58" s="85"/>
      <c r="O58" s="46">
        <f>SUM(H58:M58)</f>
        <v>18</v>
      </c>
      <c r="P58" s="86">
        <v>18</v>
      </c>
    </row>
    <row r="59" spans="1:17" ht="15" customHeight="1" x14ac:dyDescent="0.35">
      <c r="A59" s="221" t="s">
        <v>1</v>
      </c>
      <c r="B59" s="222"/>
      <c r="C59" s="222"/>
      <c r="D59" s="222"/>
      <c r="E59" s="222"/>
      <c r="F59" s="222"/>
      <c r="G59" s="223"/>
      <c r="H59" s="87">
        <f>SUM(H57:H58)</f>
        <v>32</v>
      </c>
      <c r="I59" s="88">
        <f t="shared" ref="I59:M59" si="0">SUM(I57:I58)</f>
        <v>32</v>
      </c>
      <c r="J59" s="87">
        <f t="shared" si="0"/>
        <v>32</v>
      </c>
      <c r="K59" s="88">
        <f t="shared" si="0"/>
        <v>32</v>
      </c>
      <c r="L59" s="87">
        <f t="shared" si="0"/>
        <v>32</v>
      </c>
      <c r="M59" s="88">
        <f t="shared" si="0"/>
        <v>32</v>
      </c>
      <c r="N59" s="89"/>
      <c r="O59" s="215">
        <f>SUM(H59:M59)</f>
        <v>192</v>
      </c>
      <c r="P59" s="216"/>
    </row>
    <row r="60" spans="1:17" ht="15" customHeight="1" x14ac:dyDescent="0.35">
      <c r="A60" s="213" t="s">
        <v>153</v>
      </c>
      <c r="B60" s="214"/>
      <c r="C60" s="214"/>
      <c r="D60" s="214"/>
      <c r="E60" s="214"/>
      <c r="F60" s="214"/>
      <c r="G60" s="195"/>
      <c r="H60" s="90">
        <v>11</v>
      </c>
      <c r="I60" s="88">
        <v>11</v>
      </c>
      <c r="J60" s="87">
        <v>11</v>
      </c>
      <c r="K60" s="88">
        <v>11</v>
      </c>
      <c r="L60" s="87">
        <v>12</v>
      </c>
      <c r="M60" s="84">
        <v>12</v>
      </c>
      <c r="N60" s="89"/>
      <c r="O60" s="219"/>
      <c r="P60" s="220"/>
    </row>
    <row r="61" spans="1:17" ht="17.25" customHeight="1" thickBot="1" x14ac:dyDescent="0.4">
      <c r="A61" s="224" t="s">
        <v>0</v>
      </c>
      <c r="B61" s="225"/>
      <c r="C61" s="225"/>
      <c r="D61" s="225"/>
      <c r="E61" s="225"/>
      <c r="F61" s="225"/>
      <c r="G61" s="226"/>
      <c r="H61" s="194">
        <f>SUM(H59:I59)</f>
        <v>64</v>
      </c>
      <c r="I61" s="185"/>
      <c r="J61" s="194">
        <f>SUM(J59:K59)</f>
        <v>64</v>
      </c>
      <c r="K61" s="185"/>
      <c r="L61" s="194">
        <f>SUM(L59:M59)</f>
        <v>64</v>
      </c>
      <c r="M61" s="185"/>
      <c r="N61" s="91"/>
      <c r="O61" s="217">
        <f>SUM(H61:M61)</f>
        <v>192</v>
      </c>
      <c r="P61" s="218"/>
    </row>
    <row r="62" spans="1:17" ht="14.4" customHeight="1" x14ac:dyDescent="0.25">
      <c r="A62" s="201" t="s">
        <v>212</v>
      </c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3"/>
    </row>
    <row r="63" spans="1:17" ht="14.4" customHeight="1" x14ac:dyDescent="0.25">
      <c r="A63" s="204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6"/>
    </row>
    <row r="64" spans="1:17" ht="14.4" customHeight="1" x14ac:dyDescent="0.25">
      <c r="A64" s="204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6"/>
    </row>
    <row r="65" spans="1:16" ht="14.4" customHeight="1" x14ac:dyDescent="0.25">
      <c r="A65" s="204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6"/>
    </row>
    <row r="66" spans="1:16" ht="14.4" customHeight="1" x14ac:dyDescent="0.25">
      <c r="A66" s="204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6"/>
    </row>
    <row r="67" spans="1:16" ht="14.4" customHeight="1" x14ac:dyDescent="0.25">
      <c r="A67" s="204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6"/>
    </row>
    <row r="68" spans="1:16" ht="14.4" customHeight="1" x14ac:dyDescent="0.25">
      <c r="A68" s="204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6"/>
    </row>
    <row r="69" spans="1:16" ht="15" customHeight="1" thickBot="1" x14ac:dyDescent="0.3">
      <c r="A69" s="207"/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9"/>
    </row>
  </sheetData>
  <mergeCells count="87">
    <mergeCell ref="P43:P56"/>
    <mergeCell ref="B47:B54"/>
    <mergeCell ref="C47:C49"/>
    <mergeCell ref="C50:C54"/>
    <mergeCell ref="N32:N33"/>
    <mergeCell ref="J41:J42"/>
    <mergeCell ref="K41:K42"/>
    <mergeCell ref="J37:J40"/>
    <mergeCell ref="K37:K40"/>
    <mergeCell ref="C43:C44"/>
    <mergeCell ref="C55:C56"/>
    <mergeCell ref="L43:L44"/>
    <mergeCell ref="M43:M44"/>
    <mergeCell ref="L45:L56"/>
    <mergeCell ref="M45:M56"/>
    <mergeCell ref="O9:O14"/>
    <mergeCell ref="O15:O17"/>
    <mergeCell ref="O20:O29"/>
    <mergeCell ref="O30:O31"/>
    <mergeCell ref="A62:P69"/>
    <mergeCell ref="H61:I61"/>
    <mergeCell ref="A57:F57"/>
    <mergeCell ref="A58:F58"/>
    <mergeCell ref="O59:P59"/>
    <mergeCell ref="O61:P61"/>
    <mergeCell ref="O60:P60"/>
    <mergeCell ref="A59:G59"/>
    <mergeCell ref="A60:G60"/>
    <mergeCell ref="A61:G61"/>
    <mergeCell ref="A43:A56"/>
    <mergeCell ref="O32:O33"/>
    <mergeCell ref="A37:A42"/>
    <mergeCell ref="B43:B46"/>
    <mergeCell ref="C15:C17"/>
    <mergeCell ref="P34:P36"/>
    <mergeCell ref="J61:K61"/>
    <mergeCell ref="L61:M61"/>
    <mergeCell ref="B55:B56"/>
    <mergeCell ref="B37:B40"/>
    <mergeCell ref="C37:C40"/>
    <mergeCell ref="B41:B42"/>
    <mergeCell ref="C41:C42"/>
    <mergeCell ref="O43:O56"/>
    <mergeCell ref="O37:O40"/>
    <mergeCell ref="O41:O42"/>
    <mergeCell ref="O34:O36"/>
    <mergeCell ref="P37:P42"/>
    <mergeCell ref="A6:A36"/>
    <mergeCell ref="B6:B18"/>
    <mergeCell ref="P20:P29"/>
    <mergeCell ref="B30:B33"/>
    <mergeCell ref="C30:C31"/>
    <mergeCell ref="P30:P31"/>
    <mergeCell ref="C32:C33"/>
    <mergeCell ref="P32:P33"/>
    <mergeCell ref="B19:B29"/>
    <mergeCell ref="C20:C29"/>
    <mergeCell ref="P15:P17"/>
    <mergeCell ref="C6:C8"/>
    <mergeCell ref="B34:B36"/>
    <mergeCell ref="C34:C36"/>
    <mergeCell ref="C9:C14"/>
    <mergeCell ref="P9:P14"/>
    <mergeCell ref="P6:P8"/>
    <mergeCell ref="H4:H5"/>
    <mergeCell ref="I4:I5"/>
    <mergeCell ref="J4:J5"/>
    <mergeCell ref="K4:K5"/>
    <mergeCell ref="L4:L5"/>
    <mergeCell ref="M4:M5"/>
    <mergeCell ref="N3:N5"/>
    <mergeCell ref="O6:O8"/>
    <mergeCell ref="A1:P1"/>
    <mergeCell ref="L2:M2"/>
    <mergeCell ref="A3:A5"/>
    <mergeCell ref="B3:B5"/>
    <mergeCell ref="C3:C5"/>
    <mergeCell ref="D3:D5"/>
    <mergeCell ref="E3:E5"/>
    <mergeCell ref="F3:F5"/>
    <mergeCell ref="G3:G5"/>
    <mergeCell ref="P3:P5"/>
    <mergeCell ref="O3:O5"/>
    <mergeCell ref="H3:I3"/>
    <mergeCell ref="J3:K3"/>
    <mergeCell ref="L3:M3"/>
    <mergeCell ref="A2:G2"/>
  </mergeCells>
  <phoneticPr fontId="1" type="noConversion"/>
  <dataValidations count="3">
    <dataValidation type="list" allowBlank="1" showInputMessage="1" sqref="N6:N32 N34:N56" xr:uid="{00000000-0002-0000-0100-000000000000}">
      <formula1>비고</formula1>
    </dataValidation>
    <dataValidation type="list" allowBlank="1" showInputMessage="1" showErrorMessage="1" sqref="D6:D56" xr:uid="{00000000-0002-0000-0100-000001000000}">
      <formula1>과목유형</formula1>
    </dataValidation>
    <dataValidation type="list" allowBlank="1" showInputMessage="1" sqref="E6:E56" xr:uid="{00000000-0002-0000-0100-000002000000}">
      <formula1>INDIRECT(D6)</formula1>
    </dataValidation>
  </dataValidations>
  <pageMargins left="0.7" right="0.7" top="0.75" bottom="0.75" header="0.3" footer="0.3"/>
  <pageSetup paperSize="12" scale="8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topLeftCell="A2" workbookViewId="0">
      <selection activeCell="A11" sqref="A11"/>
    </sheetView>
  </sheetViews>
  <sheetFormatPr defaultColWidth="8.69921875" defaultRowHeight="14.4" x14ac:dyDescent="0.25"/>
  <cols>
    <col min="1" max="1" width="18.8984375" style="18" customWidth="1"/>
    <col min="2" max="5" width="18.3984375" customWidth="1"/>
    <col min="6" max="16384" width="8.69921875" style="18"/>
  </cols>
  <sheetData>
    <row r="1" spans="1:5" ht="17.399999999999999" x14ac:dyDescent="0.4">
      <c r="A1" s="9" t="s">
        <v>34</v>
      </c>
      <c r="B1" s="13" t="s">
        <v>38</v>
      </c>
      <c r="C1" s="13" t="s">
        <v>39</v>
      </c>
      <c r="D1" s="13" t="s">
        <v>40</v>
      </c>
      <c r="E1" s="17" t="s">
        <v>28</v>
      </c>
    </row>
    <row r="2" spans="1:5" ht="17.399999999999999" x14ac:dyDescent="0.4">
      <c r="A2" s="8" t="s">
        <v>38</v>
      </c>
      <c r="B2" s="11" t="s">
        <v>41</v>
      </c>
      <c r="C2" s="11" t="s">
        <v>42</v>
      </c>
      <c r="D2" s="11" t="s">
        <v>43</v>
      </c>
      <c r="E2" s="11" t="s">
        <v>44</v>
      </c>
    </row>
    <row r="3" spans="1:5" ht="17.399999999999999" x14ac:dyDescent="0.4">
      <c r="A3" s="8" t="s">
        <v>39</v>
      </c>
      <c r="B3" s="11" t="s">
        <v>45</v>
      </c>
      <c r="C3" s="11" t="s">
        <v>46</v>
      </c>
      <c r="D3" s="11" t="s">
        <v>47</v>
      </c>
      <c r="E3" s="8" t="s">
        <v>48</v>
      </c>
    </row>
    <row r="4" spans="1:5" ht="17.399999999999999" x14ac:dyDescent="0.4">
      <c r="A4" s="10" t="s">
        <v>40</v>
      </c>
      <c r="B4" s="11" t="s">
        <v>49</v>
      </c>
      <c r="C4" s="11" t="s">
        <v>50</v>
      </c>
      <c r="D4" s="11" t="s">
        <v>51</v>
      </c>
      <c r="E4" s="11" t="s">
        <v>52</v>
      </c>
    </row>
    <row r="5" spans="1:5" ht="17.399999999999999" x14ac:dyDescent="0.4">
      <c r="A5" s="4"/>
      <c r="B5" s="11" t="s">
        <v>19</v>
      </c>
      <c r="C5" s="11" t="s">
        <v>53</v>
      </c>
      <c r="D5" s="11" t="s">
        <v>54</v>
      </c>
      <c r="E5" s="15" t="s">
        <v>55</v>
      </c>
    </row>
    <row r="6" spans="1:5" ht="17.399999999999999" x14ac:dyDescent="0.4">
      <c r="A6" s="4"/>
      <c r="B6" s="11" t="s">
        <v>17</v>
      </c>
      <c r="C6" s="11" t="s">
        <v>56</v>
      </c>
      <c r="D6" s="11" t="s">
        <v>57</v>
      </c>
      <c r="E6" s="5"/>
    </row>
    <row r="7" spans="1:5" ht="17.399999999999999" x14ac:dyDescent="0.4">
      <c r="A7" s="4"/>
      <c r="B7" s="12" t="s">
        <v>58</v>
      </c>
      <c r="C7" s="11" t="s">
        <v>59</v>
      </c>
      <c r="D7" s="11" t="s">
        <v>60</v>
      </c>
      <c r="E7" s="6"/>
    </row>
    <row r="8" spans="1:5" ht="17.399999999999999" x14ac:dyDescent="0.4">
      <c r="A8" s="4"/>
      <c r="B8" s="14" t="s">
        <v>61</v>
      </c>
      <c r="C8" s="11" t="s">
        <v>62</v>
      </c>
      <c r="D8" s="11" t="s">
        <v>63</v>
      </c>
      <c r="E8" s="6"/>
    </row>
    <row r="9" spans="1:5" ht="17.399999999999999" x14ac:dyDescent="0.4">
      <c r="A9" s="4"/>
      <c r="B9" s="7"/>
      <c r="C9" s="11" t="s">
        <v>64</v>
      </c>
      <c r="D9" s="11" t="s">
        <v>65</v>
      </c>
      <c r="E9" s="5"/>
    </row>
    <row r="10" spans="1:5" ht="17.399999999999999" x14ac:dyDescent="0.4">
      <c r="A10" s="4"/>
      <c r="B10" s="7"/>
      <c r="C10" s="11" t="s">
        <v>66</v>
      </c>
      <c r="D10" s="11" t="s">
        <v>67</v>
      </c>
      <c r="E10" s="5"/>
    </row>
    <row r="11" spans="1:5" ht="17.399999999999999" x14ac:dyDescent="0.4">
      <c r="A11" s="4"/>
      <c r="B11" s="7"/>
      <c r="C11" s="11" t="s">
        <v>68</v>
      </c>
      <c r="D11" s="11" t="s">
        <v>69</v>
      </c>
      <c r="E11" s="5"/>
    </row>
    <row r="12" spans="1:5" ht="17.399999999999999" x14ac:dyDescent="0.4">
      <c r="A12" s="4"/>
      <c r="B12" s="7"/>
      <c r="C12" s="11" t="s">
        <v>70</v>
      </c>
      <c r="D12" s="11" t="s">
        <v>71</v>
      </c>
      <c r="E12" s="5"/>
    </row>
    <row r="13" spans="1:5" ht="17.399999999999999" x14ac:dyDescent="0.4">
      <c r="A13" s="4"/>
      <c r="B13" s="7"/>
      <c r="C13" s="11" t="s">
        <v>72</v>
      </c>
      <c r="D13" s="11" t="s">
        <v>73</v>
      </c>
      <c r="E13" s="5"/>
    </row>
    <row r="14" spans="1:5" ht="17.399999999999999" x14ac:dyDescent="0.4">
      <c r="A14" s="4"/>
      <c r="B14" s="7"/>
      <c r="C14" s="11" t="s">
        <v>74</v>
      </c>
      <c r="D14" s="11" t="s">
        <v>75</v>
      </c>
      <c r="E14" s="5"/>
    </row>
    <row r="15" spans="1:5" ht="17.399999999999999" x14ac:dyDescent="0.4">
      <c r="A15" s="4"/>
      <c r="B15" s="7"/>
      <c r="C15" s="11" t="s">
        <v>76</v>
      </c>
      <c r="D15" s="11" t="s">
        <v>77</v>
      </c>
      <c r="E15" s="5"/>
    </row>
    <row r="16" spans="1:5" ht="17.399999999999999" x14ac:dyDescent="0.4">
      <c r="A16" s="4"/>
      <c r="B16" s="7"/>
      <c r="C16" s="11" t="s">
        <v>78</v>
      </c>
      <c r="D16" s="11" t="s">
        <v>79</v>
      </c>
      <c r="E16" s="5"/>
    </row>
    <row r="17" spans="1:5" ht="17.399999999999999" x14ac:dyDescent="0.4">
      <c r="A17" s="4"/>
      <c r="B17" s="4"/>
      <c r="C17" s="11" t="s">
        <v>80</v>
      </c>
      <c r="D17" s="11" t="s">
        <v>81</v>
      </c>
      <c r="E17" s="5"/>
    </row>
    <row r="18" spans="1:5" ht="17.399999999999999" x14ac:dyDescent="0.4">
      <c r="A18" s="4"/>
      <c r="B18" s="4"/>
      <c r="C18" s="11" t="s">
        <v>82</v>
      </c>
      <c r="D18" s="12" t="s">
        <v>83</v>
      </c>
      <c r="E18" s="5"/>
    </row>
    <row r="19" spans="1:5" ht="17.399999999999999" x14ac:dyDescent="0.4">
      <c r="A19" s="4"/>
      <c r="B19" s="4"/>
      <c r="C19" s="11" t="s">
        <v>84</v>
      </c>
      <c r="D19" s="12" t="s">
        <v>85</v>
      </c>
      <c r="E19" s="5"/>
    </row>
    <row r="20" spans="1:5" ht="17.399999999999999" x14ac:dyDescent="0.4">
      <c r="A20" s="4"/>
      <c r="B20" s="4"/>
      <c r="C20" s="11" t="s">
        <v>86</v>
      </c>
      <c r="D20" s="11" t="s">
        <v>87</v>
      </c>
      <c r="E20" s="5"/>
    </row>
    <row r="21" spans="1:5" ht="17.399999999999999" x14ac:dyDescent="0.4">
      <c r="A21" s="4"/>
      <c r="B21" s="4"/>
      <c r="C21" s="11" t="s">
        <v>88</v>
      </c>
      <c r="D21" s="11" t="s">
        <v>89</v>
      </c>
      <c r="E21" s="5"/>
    </row>
    <row r="22" spans="1:5" ht="17.399999999999999" x14ac:dyDescent="0.4">
      <c r="A22" s="4"/>
      <c r="B22" s="4"/>
      <c r="C22" s="11" t="s">
        <v>90</v>
      </c>
      <c r="D22" s="11" t="s">
        <v>91</v>
      </c>
      <c r="E22" s="5"/>
    </row>
    <row r="23" spans="1:5" ht="17.399999999999999" x14ac:dyDescent="0.4">
      <c r="A23" s="4"/>
      <c r="B23" s="4"/>
      <c r="C23" s="11" t="s">
        <v>92</v>
      </c>
      <c r="D23" s="11" t="s">
        <v>93</v>
      </c>
      <c r="E23" s="5"/>
    </row>
    <row r="24" spans="1:5" ht="17.399999999999999" x14ac:dyDescent="0.4">
      <c r="A24" s="4"/>
      <c r="B24" s="4"/>
      <c r="C24" s="11" t="s">
        <v>94</v>
      </c>
      <c r="D24" s="11" t="s">
        <v>95</v>
      </c>
      <c r="E24" s="5"/>
    </row>
    <row r="25" spans="1:5" ht="17.399999999999999" x14ac:dyDescent="0.4">
      <c r="A25" s="4"/>
      <c r="B25" s="4"/>
      <c r="C25" s="12" t="s">
        <v>96</v>
      </c>
      <c r="D25" s="11" t="s">
        <v>97</v>
      </c>
      <c r="E25" s="5"/>
    </row>
    <row r="26" spans="1:5" ht="17.399999999999999" x14ac:dyDescent="0.4">
      <c r="A26" s="4"/>
      <c r="B26" s="4"/>
      <c r="C26" s="11" t="s">
        <v>98</v>
      </c>
      <c r="D26" s="11" t="s">
        <v>99</v>
      </c>
      <c r="E26" s="5"/>
    </row>
    <row r="27" spans="1:5" ht="17.399999999999999" x14ac:dyDescent="0.4">
      <c r="A27" s="4"/>
      <c r="B27" s="4"/>
      <c r="C27" s="11" t="s">
        <v>100</v>
      </c>
      <c r="D27" s="11" t="s">
        <v>101</v>
      </c>
      <c r="E27" s="5"/>
    </row>
    <row r="28" spans="1:5" ht="17.399999999999999" x14ac:dyDescent="0.4">
      <c r="A28" s="4"/>
      <c r="B28" s="4"/>
      <c r="C28" s="11" t="s">
        <v>102</v>
      </c>
      <c r="D28" s="11" t="s">
        <v>103</v>
      </c>
      <c r="E28" s="5"/>
    </row>
    <row r="29" spans="1:5" ht="17.399999999999999" x14ac:dyDescent="0.4">
      <c r="A29" s="4"/>
      <c r="B29" s="4"/>
      <c r="C29" s="11" t="s">
        <v>104</v>
      </c>
      <c r="D29" s="11" t="s">
        <v>105</v>
      </c>
      <c r="E29" s="5"/>
    </row>
    <row r="30" spans="1:5" ht="17.399999999999999" x14ac:dyDescent="0.4">
      <c r="A30" s="4"/>
      <c r="B30" s="4"/>
      <c r="C30" s="11" t="s">
        <v>106</v>
      </c>
      <c r="D30" s="11" t="s">
        <v>107</v>
      </c>
      <c r="E30" s="5"/>
    </row>
    <row r="31" spans="1:5" ht="17.399999999999999" x14ac:dyDescent="0.4">
      <c r="A31" s="4"/>
      <c r="B31" s="4"/>
      <c r="C31" s="11" t="s">
        <v>108</v>
      </c>
      <c r="D31" s="11" t="s">
        <v>109</v>
      </c>
      <c r="E31" s="5"/>
    </row>
    <row r="32" spans="1:5" ht="17.399999999999999" x14ac:dyDescent="0.4">
      <c r="A32" s="4"/>
      <c r="B32" s="4"/>
      <c r="C32" s="11" t="s">
        <v>110</v>
      </c>
      <c r="D32" s="11" t="s">
        <v>111</v>
      </c>
      <c r="E32" s="5"/>
    </row>
    <row r="33" spans="1:5" ht="17.399999999999999" x14ac:dyDescent="0.4">
      <c r="A33" s="4"/>
      <c r="B33" s="4"/>
      <c r="C33" s="11" t="s">
        <v>112</v>
      </c>
      <c r="D33" s="11" t="s">
        <v>113</v>
      </c>
      <c r="E33" s="5"/>
    </row>
    <row r="34" spans="1:5" ht="17.399999999999999" x14ac:dyDescent="0.4">
      <c r="A34" s="4"/>
      <c r="B34" s="4"/>
      <c r="C34" s="8" t="s">
        <v>114</v>
      </c>
      <c r="D34" s="11" t="s">
        <v>115</v>
      </c>
      <c r="E34" s="5"/>
    </row>
    <row r="35" spans="1:5" ht="17.399999999999999" x14ac:dyDescent="0.4">
      <c r="A35" s="4"/>
      <c r="B35" s="4"/>
      <c r="C35" s="12" t="s">
        <v>116</v>
      </c>
      <c r="D35" s="11" t="s">
        <v>117</v>
      </c>
      <c r="E35" s="5"/>
    </row>
    <row r="36" spans="1:5" ht="17.399999999999999" x14ac:dyDescent="0.4">
      <c r="A36" s="4"/>
      <c r="B36" s="4"/>
      <c r="C36" s="12" t="s">
        <v>118</v>
      </c>
      <c r="D36" s="12" t="s">
        <v>119</v>
      </c>
      <c r="E36" s="5"/>
    </row>
    <row r="37" spans="1:5" ht="17.399999999999999" x14ac:dyDescent="0.4">
      <c r="A37" s="4"/>
      <c r="B37" s="4"/>
      <c r="C37" s="12" t="s">
        <v>120</v>
      </c>
      <c r="D37" s="11" t="s">
        <v>121</v>
      </c>
      <c r="E37" s="5"/>
    </row>
    <row r="38" spans="1:5" ht="17.399999999999999" x14ac:dyDescent="0.4">
      <c r="A38" s="4"/>
      <c r="B38" s="4"/>
      <c r="C38" s="12" t="s">
        <v>122</v>
      </c>
      <c r="D38" s="16" t="s">
        <v>123</v>
      </c>
      <c r="E38" s="5"/>
    </row>
    <row r="39" spans="1:5" ht="17.399999999999999" x14ac:dyDescent="0.4">
      <c r="A39" s="4"/>
      <c r="B39" s="4"/>
      <c r="C39" s="12" t="s">
        <v>124</v>
      </c>
      <c r="D39" s="12" t="s">
        <v>125</v>
      </c>
      <c r="E39" s="5"/>
    </row>
    <row r="40" spans="1:5" ht="17.399999999999999" x14ac:dyDescent="0.4">
      <c r="A40" s="4"/>
      <c r="B40" s="4"/>
      <c r="C40" s="12" t="s">
        <v>126</v>
      </c>
      <c r="D40" s="12" t="s">
        <v>127</v>
      </c>
      <c r="E40" s="5"/>
    </row>
    <row r="41" spans="1:5" ht="17.399999999999999" x14ac:dyDescent="0.4">
      <c r="A41" s="4"/>
      <c r="B41" s="4"/>
      <c r="C41" s="8" t="s">
        <v>128</v>
      </c>
      <c r="D41" s="12" t="s">
        <v>129</v>
      </c>
      <c r="E41" s="5"/>
    </row>
    <row r="42" spans="1:5" ht="17.399999999999999" x14ac:dyDescent="0.4">
      <c r="A42" s="4"/>
      <c r="B42" s="4"/>
      <c r="C42" s="12" t="s">
        <v>130</v>
      </c>
      <c r="D42" s="12" t="s">
        <v>131</v>
      </c>
      <c r="E42" s="5"/>
    </row>
    <row r="43" spans="1:5" ht="17.399999999999999" x14ac:dyDescent="0.4">
      <c r="A43" s="4"/>
      <c r="B43" s="4"/>
      <c r="C43" s="11" t="s">
        <v>132</v>
      </c>
      <c r="D43" s="12" t="s">
        <v>133</v>
      </c>
      <c r="E43" s="5"/>
    </row>
    <row r="44" spans="1:5" ht="17.399999999999999" x14ac:dyDescent="0.4">
      <c r="A44" s="4"/>
      <c r="B44" s="4"/>
      <c r="C44" s="8" t="s">
        <v>134</v>
      </c>
      <c r="D44" s="12" t="s">
        <v>135</v>
      </c>
      <c r="E44" s="5"/>
    </row>
    <row r="45" spans="1:5" ht="17.399999999999999" x14ac:dyDescent="0.4">
      <c r="A45" s="4"/>
      <c r="B45" s="4"/>
      <c r="C45" s="11" t="s">
        <v>136</v>
      </c>
      <c r="D45" s="12" t="s">
        <v>137</v>
      </c>
      <c r="E45" s="5"/>
    </row>
    <row r="46" spans="1:5" ht="17.399999999999999" x14ac:dyDescent="0.4">
      <c r="A46" s="4"/>
      <c r="B46" s="4"/>
      <c r="C46" s="11" t="s">
        <v>138</v>
      </c>
      <c r="D46" s="12" t="s">
        <v>139</v>
      </c>
      <c r="E46" s="5"/>
    </row>
    <row r="47" spans="1:5" ht="17.399999999999999" x14ac:dyDescent="0.4">
      <c r="A47" s="4"/>
      <c r="B47" s="4"/>
      <c r="C47" s="11" t="s">
        <v>140</v>
      </c>
      <c r="D47" s="14" t="s">
        <v>141</v>
      </c>
      <c r="E47" s="5"/>
    </row>
    <row r="48" spans="1:5" ht="17.399999999999999" x14ac:dyDescent="0.4">
      <c r="A48" s="4"/>
      <c r="B48" s="4"/>
      <c r="C48" s="11" t="s">
        <v>142</v>
      </c>
      <c r="D48" s="4"/>
      <c r="E48" s="5"/>
    </row>
    <row r="49" spans="1:5" ht="17.399999999999999" x14ac:dyDescent="0.4">
      <c r="A49" s="4"/>
      <c r="B49" s="4"/>
      <c r="C49" s="11" t="s">
        <v>143</v>
      </c>
      <c r="D49" s="4"/>
      <c r="E49" s="5"/>
    </row>
    <row r="50" spans="1:5" ht="17.399999999999999" x14ac:dyDescent="0.4">
      <c r="A50" s="4"/>
      <c r="B50" s="4"/>
      <c r="C50" s="11" t="s">
        <v>144</v>
      </c>
      <c r="D50" s="4"/>
      <c r="E50" s="5"/>
    </row>
    <row r="51" spans="1:5" ht="17.399999999999999" x14ac:dyDescent="0.4">
      <c r="A51" s="4"/>
      <c r="B51" s="4"/>
      <c r="C51" s="11" t="s">
        <v>145</v>
      </c>
      <c r="D51" s="4"/>
      <c r="E51" s="5"/>
    </row>
    <row r="52" spans="1:5" ht="17.399999999999999" x14ac:dyDescent="0.4">
      <c r="A52" s="4"/>
      <c r="B52" s="4"/>
      <c r="C52" s="15" t="s">
        <v>146</v>
      </c>
      <c r="D52" s="4"/>
      <c r="E52" s="5"/>
    </row>
  </sheetData>
  <phoneticPr fontId="1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6</vt:i4>
      </vt:variant>
    </vt:vector>
  </HeadingPairs>
  <TitlesOfParts>
    <vt:vector size="9" baseType="lpstr">
      <vt:lpstr>배당표 작성 요령</vt:lpstr>
      <vt:lpstr>2024입학생</vt:lpstr>
      <vt:lpstr>과목</vt:lpstr>
      <vt:lpstr>'2024입학생'!Print_Area</vt:lpstr>
      <vt:lpstr>공통</vt:lpstr>
      <vt:lpstr>과목유형</vt:lpstr>
      <vt:lpstr>비고</vt:lpstr>
      <vt:lpstr>일반</vt:lpstr>
      <vt:lpstr>진로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2024-04-22T10:23:38Z</cp:lastPrinted>
  <dcterms:created xsi:type="dcterms:W3CDTF">2024-04-19T11:26:34Z</dcterms:created>
  <dcterms:modified xsi:type="dcterms:W3CDTF">2025-12-01T06:38:58Z</dcterms:modified>
</cp:coreProperties>
</file>