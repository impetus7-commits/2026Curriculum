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F:\DaeGwang High School\바탕화면\교무부자료\(중요)교육과정관련자료_서울온라인학교_공동교육과정(거점학교)_학교밖교육\2027학년도 교육과정\교육청 제출(1차)\"/>
    </mc:Choice>
  </mc:AlternateContent>
  <bookViews>
    <workbookView xWindow="-120" yWindow="-120" windowWidth="29040" windowHeight="15840" tabRatio="681" activeTab="1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'2027입학생'!$A$1:$P$149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40" l="1"/>
  <c r="E49" i="40"/>
  <c r="E96" i="40" l="1"/>
  <c r="E116" i="40" l="1"/>
  <c r="L138" i="40"/>
  <c r="K138" i="40"/>
  <c r="E65" i="40" l="1"/>
  <c r="E124" i="40" l="1"/>
  <c r="E102" i="40"/>
  <c r="E79" i="40"/>
  <c r="E54" i="40"/>
  <c r="E78" i="40" l="1"/>
  <c r="J138" i="40"/>
  <c r="J140" i="40" s="1"/>
  <c r="I138" i="40"/>
  <c r="H138" i="40"/>
  <c r="G138" i="40"/>
  <c r="L140" i="40"/>
  <c r="E106" i="40" l="1"/>
  <c r="E66" i="40"/>
  <c r="E126" i="40"/>
  <c r="E127" i="40"/>
  <c r="E121" i="40"/>
  <c r="E99" i="40"/>
  <c r="E100" i="40"/>
  <c r="E97" i="40"/>
  <c r="E82" i="40"/>
  <c r="E83" i="40"/>
  <c r="E72" i="40"/>
  <c r="E57" i="40"/>
  <c r="E58" i="40"/>
  <c r="E51" i="40"/>
  <c r="E52" i="40"/>
  <c r="E42" i="40"/>
  <c r="E38" i="40"/>
  <c r="E39" i="40"/>
  <c r="E34" i="40"/>
  <c r="E29" i="40"/>
  <c r="E25" i="40"/>
  <c r="E19" i="40"/>
  <c r="E20" i="40"/>
  <c r="E14" i="40"/>
  <c r="E15" i="40"/>
  <c r="E9" i="40"/>
  <c r="E10" i="40"/>
  <c r="E26" i="40" l="1"/>
  <c r="E7" i="40" l="1"/>
  <c r="O30" i="40"/>
  <c r="E31" i="40"/>
  <c r="E33" i="40"/>
  <c r="O26" i="40"/>
  <c r="O24" i="40"/>
  <c r="O22" i="40"/>
  <c r="O17" i="40"/>
  <c r="E18" i="40"/>
  <c r="O12" i="40"/>
  <c r="O7" i="40"/>
  <c r="E8" i="40" l="1"/>
  <c r="E11" i="40" l="1"/>
  <c r="E12" i="40"/>
  <c r="E13" i="40"/>
  <c r="E16" i="40"/>
  <c r="E17" i="40"/>
  <c r="E21" i="40"/>
  <c r="E22" i="40"/>
  <c r="E23" i="40"/>
  <c r="E24" i="40"/>
  <c r="E27" i="40"/>
  <c r="E28" i="40"/>
  <c r="E30" i="40"/>
  <c r="E32" i="40"/>
  <c r="E35" i="40"/>
  <c r="E36" i="40"/>
  <c r="E37" i="40"/>
  <c r="E40" i="40"/>
  <c r="E41" i="40"/>
  <c r="E47" i="40"/>
  <c r="E48" i="40"/>
  <c r="E50" i="40"/>
  <c r="E53" i="40"/>
  <c r="E55" i="40"/>
  <c r="E56" i="40"/>
  <c r="E67" i="40"/>
  <c r="E70" i="40"/>
  <c r="E71" i="40"/>
  <c r="E74" i="40"/>
  <c r="E77" i="40"/>
  <c r="E80" i="40"/>
  <c r="E81" i="40"/>
  <c r="E90" i="40"/>
  <c r="E91" i="40"/>
  <c r="E92" i="40"/>
  <c r="E95" i="40"/>
  <c r="E98" i="40"/>
  <c r="E101" i="40"/>
  <c r="E103" i="40"/>
  <c r="E104" i="40"/>
  <c r="E105" i="40"/>
  <c r="E113" i="40"/>
  <c r="E120" i="40"/>
  <c r="E122" i="40"/>
  <c r="E123" i="40"/>
  <c r="E125" i="40"/>
  <c r="E137" i="40"/>
  <c r="O139" i="40" l="1"/>
  <c r="K140" i="40" l="1"/>
  <c r="I140" i="40"/>
  <c r="H140" i="40"/>
  <c r="G140" i="40" l="1"/>
  <c r="O140" i="40" s="1"/>
  <c r="O138" i="40"/>
  <c r="K142" i="40"/>
  <c r="I142" i="40"/>
  <c r="P138" i="40"/>
  <c r="G142" i="40" l="1"/>
  <c r="O142" i="40" s="1"/>
</calcChain>
</file>

<file path=xl/comments1.xml><?xml version="1.0" encoding="utf-8"?>
<comments xmlns="http://schemas.openxmlformats.org/spreadsheetml/2006/main">
  <authors>
    <author>Administrator</author>
  </authors>
  <commentList>
    <comment ref="E3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7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<sst xmlns="http://schemas.openxmlformats.org/spreadsheetml/2006/main" count="789" uniqueCount="365">
  <si>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</si>
  <si>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</si>
  <si>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</si>
  <si>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</si>
  <si>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</si>
  <si>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</si>
  <si>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</si>
  <si>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</si>
  <si>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</si>
  <si>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</si>
  <si>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</si>
  <si>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</si>
  <si>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</si>
  <si>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</si>
  <si>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</si>
  <si>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</si>
  <si>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</si>
  <si>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</si>
  <si>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</si>
  <si>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</si>
  <si>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</si>
  <si>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</si>
  <si>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</si>
  <si>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</si>
  <si>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</si>
  <si>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체 육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</si>
  <si>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</si>
  <si>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</si>
  <si>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</si>
  <si>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</si>
  <si>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</si>
  <si>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</si>
  <si>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</si>
  <si>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</si>
  <si>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</si>
  <si>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</si>
  <si>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</si>
  <si>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</si>
  <si>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</si>
  <si>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</si>
  <si>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</si>
  <si>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</si>
  <si>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</si>
  <si>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</si>
  <si>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</si>
  <si>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</si>
  <si>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</si>
  <si>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</si>
  <si>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</si>
  <si>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</si>
  <si>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</si>
  <si>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</si>
  <si>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</si>
  <si>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</si>
  <si>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</si>
  <si>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</si>
  <si>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</si>
  <si>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</si>
  <si>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</si>
  <si>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</si>
  <si>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</si>
  <si>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</si>
  <si>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</si>
  <si>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</si>
  <si>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</si>
  <si>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</si>
  <si>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</si>
  <si>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</si>
  <si>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</si>
  <si>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</si>
  <si>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</si>
  <si>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</si>
  <si>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</si>
  <si>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</si>
  <si>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</si>
  <si>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</si>
  <si>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</si>
  <si>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</si>
  <si>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</si>
  <si>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</si>
  <si>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</si>
  <si>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</si>
  <si>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</si>
  <si>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</si>
  <si>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</si>
  <si>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</si>
  <si>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</si>
  <si>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</si>
  <si>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</si>
  <si>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</si>
  <si>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</si>
  <si>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</si>
  <si>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</si>
  <si>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</si>
  <si>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</si>
  <si>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</si>
  <si>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</si>
  <si>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</si>
  <si>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</si>
  <si>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</si>
  <si>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</si>
  <si>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</si>
  <si>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</si>
  <si>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</si>
  <si>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</si>
  <si>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</si>
  <si>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</si>
  <si>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</si>
  <si>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</si>
  <si>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</si>
  <si>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</si>
  <si>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</si>
  <si>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</si>
  <si>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</si>
  <si>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</si>
  <si>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</si>
  <si>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</si>
  <si>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</si>
  <si>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</si>
  <si>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</si>
  <si>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</si>
  <si>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</si>
  <si>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</si>
  <si>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</si>
  <si>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</si>
  <si>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</si>
  <si>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</si>
  <si>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</si>
  <si>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</si>
  <si>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</si>
  <si>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</si>
  <si>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</si>
  <si>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</si>
  <si>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</si>
  <si>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</si>
  <si>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</si>
  <si>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</si>
  <si>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</si>
  <si>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</si>
  <si>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</si>
  <si>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</si>
  <si>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</si>
  <si>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</si>
  <si>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</si>
  <si>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</si>
  <si>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</si>
  <si>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</si>
  <si>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</si>
  <si>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</si>
  <si>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</si>
  <si>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</si>
  <si>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</si>
  <si>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</si>
  <si>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</si>
  <si>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</si>
  <si>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</si>
  <si>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</si>
  <si>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</si>
  <si>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</si>
  <si>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</si>
  <si>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</si>
  <si>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</si>
  <si>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</si>
  <si>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</si>
  <si>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</si>
  <si>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</si>
  <si>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</si>
  <si>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</si>
  <si>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</si>
  <si>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</si>
  <si>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</si>
  <si>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</si>
  <si>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</si>
  <si>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</si>
  <si>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</si>
  <si>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</si>
  <si>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</si>
  <si>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</si>
  <si>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</si>
  <si>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</si>
  <si>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</si>
  <si>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</si>
  <si>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</si>
  <si>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</si>
  <si>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</si>
  <si>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</si>
  <si>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</si>
  <si>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</si>
  <si>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</si>
  <si>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</si>
  <si>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</si>
  <si>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</si>
  <si>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</si>
  <si>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</si>
  <si>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</si>
  <si>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</si>
  <si>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</si>
  <si>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</si>
  <si>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</si>
  <si>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</si>
  <si>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</si>
  <si>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</si>
  <si>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</si>
  <si>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</si>
  <si>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</si>
  <si>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</si>
  <si>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</si>
  <si>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</si>
  <si>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</si>
  <si>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</si>
  <si>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</si>
  <si>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</si>
  <si>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</si>
  <si>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</si>
  <si>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</si>
  <si>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</si>
  <si>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</si>
  <si>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</si>
  <si>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</si>
  <si>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</si>
  <si>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</si>
  <si>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</si>
  <si>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</si>
  <si>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</si>
  <si>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</si>
  <si>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</si>
  <si>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</si>
  <si>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</si>
  <si>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</si>
  <si>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</si>
  <si>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</si>
  <si>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</si>
  <si>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</si>
  <si>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</si>
  <si>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</si>
  <si>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</si>
  <si>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</si>
  <si>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</si>
  <si>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</si>
  <si>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</si>
  <si>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</si>
  <si>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</si>
  <si>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</si>
  <si>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</si>
  <si>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</si>
  <si>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</si>
  <si>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</si>
  <si>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</si>
  <si>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</si>
  <si>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</si>
  <si>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</si>
  <si>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</si>
  <si>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</si>
  <si>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</si>
  <si>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</si>
  <si>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</si>
  <si>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</si>
  <si>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</si>
  <si>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</si>
  <si>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</si>
  <si>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</si>
  <si>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</si>
  <si>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</si>
  <si>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</si>
  <si>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대광고등학교 교육과정 학점 배당표</t>
    <phoneticPr fontId="1" type="noConversion"/>
  </si>
  <si>
    <t>공통</t>
  </si>
  <si>
    <t>일반</t>
  </si>
  <si>
    <t>융합</t>
  </si>
  <si>
    <t xml:space="preserve">화법과 언어 </t>
  </si>
  <si>
    <t xml:space="preserve">독서와 작문 </t>
  </si>
  <si>
    <t>진로</t>
  </si>
  <si>
    <t>대수</t>
  </si>
  <si>
    <t>미적분Ⅰ</t>
  </si>
  <si>
    <t>특목고 선택 과목</t>
  </si>
  <si>
    <t>영어Ⅱ</t>
  </si>
  <si>
    <t>통합사회1</t>
  </si>
  <si>
    <t>통합사회2</t>
  </si>
  <si>
    <t>한국사1</t>
  </si>
  <si>
    <t>한국사2</t>
  </si>
  <si>
    <t>통합과학1</t>
  </si>
  <si>
    <t>통합과학2</t>
  </si>
  <si>
    <t>과학탐구실험1</t>
  </si>
  <si>
    <t>과학탐구실험2</t>
  </si>
  <si>
    <t>체육1</t>
  </si>
  <si>
    <t>체육2</t>
  </si>
  <si>
    <t>스포츠 과학</t>
  </si>
  <si>
    <t>스포츠 문화</t>
  </si>
  <si>
    <t>미술</t>
  </si>
  <si>
    <t>음악</t>
  </si>
  <si>
    <t>중국어</t>
  </si>
  <si>
    <t>삶과 종교1</t>
    <phoneticPr fontId="1" type="noConversion"/>
  </si>
  <si>
    <t>종교와 생활</t>
    <phoneticPr fontId="1" type="noConversion"/>
  </si>
  <si>
    <t>타 시·도 교육감 승인 과목</t>
  </si>
  <si>
    <t>교육감 승인 과목</t>
  </si>
  <si>
    <t>기하</t>
  </si>
  <si>
    <t>정치</t>
  </si>
  <si>
    <t xml:space="preserve">도시의 미래 탐구 </t>
  </si>
  <si>
    <t>물리학</t>
  </si>
  <si>
    <t>화학</t>
  </si>
  <si>
    <t xml:space="preserve">생명과학 </t>
  </si>
  <si>
    <t>지구과학</t>
  </si>
  <si>
    <t>드로잉</t>
    <phoneticPr fontId="1" type="noConversion"/>
  </si>
  <si>
    <t xml:space="preserve">중국 문화 </t>
  </si>
  <si>
    <t>종교와 공동체</t>
    <phoneticPr fontId="1" type="noConversion"/>
  </si>
  <si>
    <t xml:space="preserve">주제 탐구 독서 </t>
  </si>
  <si>
    <t>인공지능 수학</t>
  </si>
  <si>
    <t xml:space="preserve">윤리와 사상 </t>
  </si>
  <si>
    <t xml:space="preserve">법과 사회 </t>
  </si>
  <si>
    <t>기초 체육 전공 실기</t>
    <phoneticPr fontId="1" type="noConversion"/>
  </si>
  <si>
    <t>현대 사회와 종교</t>
    <phoneticPr fontId="1" type="noConversion"/>
  </si>
  <si>
    <t>경제 수학</t>
  </si>
  <si>
    <t>한국지리 탐구</t>
  </si>
  <si>
    <t>심화 체육 전공 실기</t>
    <phoneticPr fontId="1" type="noConversion"/>
  </si>
  <si>
    <t>미술 전공 실기</t>
    <phoneticPr fontId="1" type="noConversion"/>
  </si>
  <si>
    <t>음악 전공 실기</t>
    <phoneticPr fontId="1" type="noConversion"/>
  </si>
  <si>
    <t>논술</t>
  </si>
  <si>
    <t>고급 체육 전공 실기</t>
    <phoneticPr fontId="1" type="noConversion"/>
  </si>
  <si>
    <t>자아탐색과 글쓰기</t>
    <phoneticPr fontId="1" type="noConversion"/>
  </si>
  <si>
    <t>[2]</t>
    <phoneticPr fontId="1" type="noConversion"/>
  </si>
  <si>
    <t>[3]</t>
    <phoneticPr fontId="1" type="noConversion"/>
  </si>
  <si>
    <t>3(택1)</t>
    <phoneticPr fontId="1" type="noConversion"/>
  </si>
  <si>
    <t>1(택1)</t>
    <phoneticPr fontId="1" type="noConversion"/>
  </si>
  <si>
    <t>15(택5)</t>
    <phoneticPr fontId="1" type="noConversion"/>
  </si>
  <si>
    <t>이산 수학</t>
    <phoneticPr fontId="1" type="noConversion"/>
  </si>
  <si>
    <t>미술 이론</t>
    <phoneticPr fontId="1" type="noConversion"/>
  </si>
  <si>
    <t>12(택4)</t>
    <phoneticPr fontId="1" type="noConversion"/>
  </si>
  <si>
    <t>수 학</t>
  </si>
  <si>
    <t>심화 영어</t>
    <phoneticPr fontId="1" type="noConversion"/>
  </si>
  <si>
    <t>1
학년
선택</t>
    <phoneticPr fontId="1" type="noConversion"/>
  </si>
  <si>
    <t xml:space="preserve">3
학년선택 </t>
    <phoneticPr fontId="1" type="noConversion"/>
  </si>
  <si>
    <t>예 술</t>
  </si>
  <si>
    <t>미술 창작</t>
    <phoneticPr fontId="1" type="noConversion"/>
  </si>
  <si>
    <t>전문 수학</t>
    <phoneticPr fontId="1" type="noConversion"/>
  </si>
  <si>
    <t>사랑의 이해</t>
    <phoneticPr fontId="1" type="noConversion"/>
  </si>
  <si>
    <t>고전으로 만나는 학문의 처음</t>
    <phoneticPr fontId="1" type="noConversion"/>
  </si>
  <si>
    <t>인문학적 통찰력</t>
    <phoneticPr fontId="1" type="noConversion"/>
  </si>
  <si>
    <t>미래주제연구Ⅰ</t>
    <phoneticPr fontId="1" type="noConversion"/>
  </si>
  <si>
    <t>종교와 실천Ⅰ</t>
    <phoneticPr fontId="1" type="noConversion"/>
  </si>
  <si>
    <t>비판적 질문과 창의적 해결</t>
    <phoneticPr fontId="1" type="noConversion"/>
  </si>
  <si>
    <t>종교와 실천Ⅱ</t>
    <phoneticPr fontId="1" type="noConversion"/>
  </si>
  <si>
    <t>지속가능한 삶과 공동체 생활 탐구</t>
    <phoneticPr fontId="1" type="noConversion"/>
  </si>
  <si>
    <t>영 어</t>
  </si>
  <si>
    <t>영미 문학 읽기</t>
  </si>
  <si>
    <t>24(택6)</t>
    <phoneticPr fontId="1" type="noConversion"/>
  </si>
  <si>
    <t>1(택1)</t>
    <phoneticPr fontId="1" type="noConversion"/>
  </si>
  <si>
    <t>※ 유의사항
- 국어, 수학, 영어의 이수 학점 총합은 83학점 초과 불가, 2,3학년 전체 기간동안 국어, 영어, 수학군에서 25학점까지 추가 이수 가능
- 1학년 선택 과목 중 1,2학기 동일 편성인 '정보', '언어생활과 한자', '중국어' 과목은 1,2학기 동일 과목을 선택하지 않아야 함.
- 2학년 선택 과목 중 1,2학기 동일 편성인 '중국문화' 과목은 1,2학기 동일 과목을 선택하지 않아야 함.
- 2,3학년 전체 기간동안 사회 교과군 과목 최소 1과목 이상 선택해야 함.
- 2,3학년 전체 기간동안 기술가정/정보/제2외국어/교양 교과군에서 4학점 이수
- 3학년 선택 과목 중 1,2학기 동일 편성인 '역사로 탐구하는 현대 세계' 과목이 1,2학기 동일 과목을 선택하지 않아야 함.</t>
    <phoneticPr fontId="1" type="noConversion"/>
  </si>
  <si>
    <t>사회과제 연구</t>
    <phoneticPr fontId="1" type="noConversion"/>
  </si>
  <si>
    <t>국제 경제</t>
    <phoneticPr fontId="1" type="noConversion"/>
  </si>
  <si>
    <t>2027학년도 입학(2022 개정 교육과정 적용)</t>
    <phoneticPr fontId="1" type="noConversion"/>
  </si>
  <si>
    <t>육상</t>
    <phoneticPr fontId="1" type="noConversion"/>
  </si>
  <si>
    <t>체조</t>
    <phoneticPr fontId="1" type="noConversion"/>
  </si>
  <si>
    <t>미술과 매체</t>
    <phoneticPr fontId="1" type="noConversion"/>
  </si>
  <si>
    <t>음악 이론</t>
    <phoneticPr fontId="1" type="noConversion"/>
  </si>
  <si>
    <t>음악 연주와 창작</t>
    <phoneticPr fontId="1" type="noConversion"/>
  </si>
  <si>
    <t>스포츠 경기 체력</t>
    <phoneticPr fontId="1" type="noConversion"/>
  </si>
  <si>
    <t>미술사</t>
    <phoneticPr fontId="1" type="noConversion"/>
  </si>
  <si>
    <t>음악사</t>
    <phoneticPr fontId="1" type="noConversion"/>
  </si>
  <si>
    <t>합창∙합주</t>
    <phoneticPr fontId="1" type="noConversion"/>
  </si>
  <si>
    <t>스포츠 경기 기술</t>
    <phoneticPr fontId="1" type="noConversion"/>
  </si>
  <si>
    <t>미술 매체 탐구</t>
    <phoneticPr fontId="1" type="noConversion"/>
  </si>
  <si>
    <t>시창∙청음</t>
    <phoneticPr fontId="1" type="noConversion"/>
  </si>
  <si>
    <t>스포츠 교육</t>
    <phoneticPr fontId="1" type="noConversion"/>
  </si>
  <si>
    <t>음악과 문화</t>
    <phoneticPr fontId="1" type="noConversion"/>
  </si>
  <si>
    <t>음악 공연 실습</t>
    <phoneticPr fontId="1" type="noConversion"/>
  </si>
  <si>
    <t>미술과 사회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</si>
</sst>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0" fillId="0" borderId="69" xfId="0" applyBorder="1"/>
    <xf numFmtId="0" fontId="5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2" fillId="0" borderId="36" xfId="0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49" fontId="12" fillId="0" borderId="21" xfId="0" applyNumberFormat="1" applyFont="1" applyBorder="1" applyAlignment="1">
      <alignment horizontal="center" vertical="center" wrapText="1"/>
    </xf>
    <xf numFmtId="49" fontId="12" fillId="0" borderId="19" xfId="0" applyNumberFormat="1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42" xfId="0" quotePrefix="1" applyFont="1" applyBorder="1" applyAlignment="1">
      <alignment horizontal="center" vertical="center" wrapText="1"/>
    </xf>
    <xf numFmtId="0" fontId="12" fillId="0" borderId="27" xfId="0" quotePrefix="1" applyFont="1" applyBorder="1" applyAlignment="1">
      <alignment horizontal="center" vertical="center" wrapText="1"/>
    </xf>
    <xf numFmtId="0" fontId="12" fillId="0" borderId="38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37" xfId="0" quotePrefix="1" applyFont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18" xfId="0" quotePrefix="1" applyFont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2" xfId="0" quotePrefix="1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5" fillId="0" borderId="38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57" xfId="0" applyNumberFormat="1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42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18" xfId="0" quotePrefix="1" applyFont="1" applyFill="1" applyBorder="1" applyAlignment="1">
      <alignment horizontal="center" vertical="center" wrapText="1"/>
    </xf>
    <xf numFmtId="0" fontId="12" fillId="2" borderId="20" xfId="0" quotePrefix="1" applyFont="1" applyFill="1" applyBorder="1" applyAlignment="1">
      <alignment horizontal="center" vertical="center" wrapText="1"/>
    </xf>
    <xf numFmtId="0" fontId="12" fillId="2" borderId="22" xfId="0" quotePrefix="1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37" xfId="0" quotePrefix="1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 wrapText="1"/>
    </xf>
    <xf numFmtId="0" fontId="9" fillId="3" borderId="9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89" xfId="0" applyFont="1" applyFill="1" applyBorder="1" applyAlignment="1">
      <alignment horizontal="center" vertical="center" wrapText="1"/>
    </xf>
    <xf numFmtId="0" fontId="5" fillId="2" borderId="90" xfId="0" applyFont="1" applyFill="1" applyBorder="1" applyAlignment="1">
      <alignment horizontal="center" vertical="center" wrapText="1"/>
    </xf>
    <xf numFmtId="0" fontId="5" fillId="2" borderId="79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5" xfId="0" applyFont="1" applyFill="1" applyBorder="1" applyAlignment="1">
      <alignment horizontal="center" vertical="center" shrinkToFit="1"/>
    </xf>
    <xf numFmtId="0" fontId="9" fillId="3" borderId="1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49" fontId="5" fillId="0" borderId="17" xfId="0" applyNumberFormat="1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49" fontId="5" fillId="0" borderId="21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shrinkToFit="1"/>
    </xf>
    <xf numFmtId="49" fontId="5" fillId="0" borderId="23" xfId="0" applyNumberFormat="1" applyFont="1" applyBorder="1" applyAlignment="1">
      <alignment horizontal="center" vertical="center" shrinkToFit="1"/>
    </xf>
    <xf numFmtId="49" fontId="12" fillId="0" borderId="17" xfId="0" applyNumberFormat="1" applyFont="1" applyBorder="1" applyAlignment="1">
      <alignment horizontal="center" vertical="center" shrinkToFit="1"/>
    </xf>
    <xf numFmtId="49" fontId="12" fillId="0" borderId="21" xfId="0" applyNumberFormat="1" applyFont="1" applyBorder="1" applyAlignment="1">
      <alignment horizontal="center" vertical="center" shrinkToFit="1"/>
    </xf>
    <xf numFmtId="49" fontId="12" fillId="0" borderId="15" xfId="0" applyNumberFormat="1" applyFont="1" applyBorder="1" applyAlignment="1">
      <alignment horizontal="center" vertical="center" shrinkToFit="1"/>
    </xf>
    <xf numFmtId="0" fontId="5" fillId="2" borderId="59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2" fillId="2" borderId="106" xfId="0" applyFont="1" applyFill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2" fillId="2" borderId="90" xfId="0" applyFont="1" applyFill="1" applyBorder="1" applyAlignment="1">
      <alignment horizontal="center" vertical="center" wrapText="1"/>
    </xf>
    <xf numFmtId="0" fontId="12" fillId="2" borderId="102" xfId="0" applyFont="1" applyFill="1" applyBorder="1" applyAlignment="1">
      <alignment horizontal="center" vertical="center" wrapText="1"/>
    </xf>
    <xf numFmtId="0" fontId="12" fillId="2" borderId="105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2" borderId="61" xfId="0" applyFont="1" applyFill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12" fillId="0" borderId="6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shrinkToFit="1"/>
    </xf>
    <xf numFmtId="0" fontId="5" fillId="2" borderId="109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10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shrinkToFit="1"/>
    </xf>
    <xf numFmtId="0" fontId="5" fillId="2" borderId="29" xfId="0" applyFont="1" applyFill="1" applyBorder="1" applyAlignment="1">
      <alignment horizontal="center" vertical="center" wrapText="1"/>
    </xf>
    <xf numFmtId="0" fontId="12" fillId="2" borderId="109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shrinkToFit="1"/>
    </xf>
    <xf numFmtId="49" fontId="12" fillId="0" borderId="2" xfId="0" applyNumberFormat="1" applyFont="1" applyBorder="1" applyAlignment="1">
      <alignment horizontal="center" vertical="center" shrinkToFit="1"/>
    </xf>
    <xf numFmtId="49" fontId="12" fillId="0" borderId="29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2" fillId="2" borderId="45" xfId="0" quotePrefix="1" applyFont="1" applyFill="1" applyBorder="1" applyAlignment="1">
      <alignment horizontal="center" vertical="center" wrapText="1"/>
    </xf>
    <xf numFmtId="0" fontId="12" fillId="2" borderId="111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shrinkToFit="1"/>
    </xf>
    <xf numFmtId="0" fontId="12" fillId="2" borderId="48" xfId="0" quotePrefix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shrinkToFit="1"/>
    </xf>
    <xf numFmtId="0" fontId="11" fillId="2" borderId="40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shrinkToFit="1"/>
    </xf>
    <xf numFmtId="0" fontId="12" fillId="0" borderId="76" xfId="0" applyFont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 wrapText="1"/>
    </xf>
    <xf numFmtId="0" fontId="5" fillId="2" borderId="81" xfId="0" applyFont="1" applyFill="1" applyBorder="1" applyAlignment="1">
      <alignment horizontal="center" vertical="center" wrapText="1"/>
    </xf>
    <xf numFmtId="0" fontId="5" fillId="2" borderId="112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horizontal="center" vertical="center" wrapText="1"/>
    </xf>
    <xf numFmtId="0" fontId="12" fillId="2" borderId="109" xfId="0" quotePrefix="1" applyFont="1" applyFill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49" fontId="12" fillId="0" borderId="19" xfId="0" applyNumberFormat="1" applyFont="1" applyBorder="1" applyAlignment="1">
      <alignment horizontal="center" vertical="center" shrinkToFit="1"/>
    </xf>
    <xf numFmtId="0" fontId="12" fillId="0" borderId="71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5" fillId="2" borderId="71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6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shrinkToFit="1"/>
    </xf>
    <xf numFmtId="49" fontId="12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wrapText="1"/>
    </xf>
    <xf numFmtId="0" fontId="12" fillId="2" borderId="101" xfId="0" applyFont="1" applyFill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90" xfId="0" applyFont="1" applyBorder="1" applyAlignment="1">
      <alignment horizontal="center" vertical="center" shrinkToFit="1"/>
    </xf>
    <xf numFmtId="0" fontId="12" fillId="0" borderId="2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shrinkToFit="1"/>
    </xf>
    <xf numFmtId="0" fontId="5" fillId="0" borderId="109" xfId="0" applyFont="1" applyBorder="1" applyAlignment="1">
      <alignment horizontal="center" vertical="center" shrinkToFit="1"/>
    </xf>
    <xf numFmtId="0" fontId="12" fillId="0" borderId="109" xfId="0" quotePrefix="1" applyFont="1" applyBorder="1" applyAlignment="1">
      <alignment horizontal="center" vertical="center" wrapText="1"/>
    </xf>
    <xf numFmtId="0" fontId="12" fillId="0" borderId="45" xfId="0" quotePrefix="1" applyFont="1" applyBorder="1" applyAlignment="1">
      <alignment horizontal="center" vertical="center" wrapText="1"/>
    </xf>
    <xf numFmtId="0" fontId="12" fillId="0" borderId="46" xfId="0" quotePrefix="1" applyFont="1" applyBorder="1" applyAlignment="1">
      <alignment horizontal="center" vertical="center" wrapText="1"/>
    </xf>
    <xf numFmtId="0" fontId="5" fillId="2" borderId="108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0" fontId="12" fillId="0" borderId="57" xfId="0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 shrinkToFit="1"/>
    </xf>
    <xf numFmtId="0" fontId="5" fillId="2" borderId="19" xfId="0" applyFont="1" applyFill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26" xfId="0" quotePrefix="1" applyFont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5" fillId="2" borderId="116" xfId="0" applyFont="1" applyFill="1" applyBorder="1" applyAlignment="1">
      <alignment horizontal="center" vertical="center" wrapText="1"/>
    </xf>
    <xf numFmtId="0" fontId="12" fillId="2" borderId="59" xfId="0" quotePrefix="1" applyFont="1" applyFill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59" xfId="0" quotePrefix="1" applyFont="1" applyBorder="1" applyAlignment="1">
      <alignment horizontal="center" vertical="center" wrapText="1"/>
    </xf>
    <xf numFmtId="0" fontId="12" fillId="0" borderId="60" xfId="0" quotePrefix="1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shrinkToFit="1"/>
    </xf>
    <xf numFmtId="0" fontId="12" fillId="2" borderId="40" xfId="0" quotePrefix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shrinkToFit="1"/>
    </xf>
    <xf numFmtId="0" fontId="11" fillId="3" borderId="50" xfId="0" applyFont="1" applyFill="1" applyBorder="1" applyAlignment="1">
      <alignment horizontal="left" vertical="top" wrapText="1"/>
    </xf>
    <xf numFmtId="0" fontId="11" fillId="3" borderId="82" xfId="0" applyFont="1" applyFill="1" applyBorder="1" applyAlignment="1">
      <alignment horizontal="left" vertical="top" wrapText="1"/>
    </xf>
    <xf numFmtId="0" fontId="11" fillId="3" borderId="83" xfId="0" applyFont="1" applyFill="1" applyBorder="1" applyAlignment="1">
      <alignment horizontal="left" vertical="top" wrapText="1"/>
    </xf>
    <xf numFmtId="0" fontId="11" fillId="3" borderId="69" xfId="0" applyFont="1" applyFill="1" applyBorder="1" applyAlignment="1">
      <alignment horizontal="left" vertical="top" wrapText="1"/>
    </xf>
    <xf numFmtId="0" fontId="11" fillId="3" borderId="0" xfId="0" applyFont="1" applyFill="1" applyBorder="1" applyAlignment="1">
      <alignment horizontal="left" vertical="top" wrapText="1"/>
    </xf>
    <xf numFmtId="0" fontId="11" fillId="3" borderId="84" xfId="0" applyFont="1" applyFill="1" applyBorder="1" applyAlignment="1">
      <alignment horizontal="left" vertical="top" wrapText="1"/>
    </xf>
    <xf numFmtId="0" fontId="11" fillId="3" borderId="66" xfId="0" applyFont="1" applyFill="1" applyBorder="1" applyAlignment="1">
      <alignment horizontal="left" vertical="top" wrapText="1"/>
    </xf>
    <xf numFmtId="0" fontId="11" fillId="3" borderId="8" xfId="0" applyFont="1" applyFill="1" applyBorder="1" applyAlignment="1">
      <alignment horizontal="left" vertical="top" wrapText="1"/>
    </xf>
    <xf numFmtId="0" fontId="11" fillId="3" borderId="31" xfId="0" applyFont="1" applyFill="1" applyBorder="1" applyAlignment="1">
      <alignment horizontal="left" vertical="top" wrapText="1"/>
    </xf>
    <xf numFmtId="0" fontId="5" fillId="0" borderId="10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5" fillId="0" borderId="10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5" fillId="0" borderId="100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3" fillId="3" borderId="72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73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5" fillId="2" borderId="73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2" borderId="74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0" fontId="12" fillId="0" borderId="117" xfId="0" applyFont="1" applyBorder="1" applyAlignment="1">
      <alignment horizontal="center" vertical="center" wrapText="1"/>
    </xf>
    <xf numFmtId="0" fontId="12" fillId="0" borderId="11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96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9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71" xfId="0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87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70" xfId="0" applyFont="1" applyFill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9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1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18"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17"/>
    </tableStyle>
    <tableStyle name="표 스타일 2" pivot="0" count="1">
      <tableStyleElement type="lastColumn" dxfId="16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표3" displayName="표3" ref="E7:H137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T149"/>
  <sheetViews>
    <sheetView tabSelected="1" view="pageBreakPreview" zoomScaleNormal="115" zoomScaleSheetLayoutView="100" workbookViewId="0">
      <selection sqref="A1:P1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366" t="s">
        <v>264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</row>
    <row r="2" spans="1:16" ht="29.25" customHeight="1" thickBot="1">
      <c r="A2" s="386" t="s">
        <v>348</v>
      </c>
      <c r="B2" s="386"/>
      <c r="C2" s="386"/>
      <c r="D2" s="386"/>
      <c r="E2" s="159"/>
      <c r="F2" s="3"/>
      <c r="G2" s="2"/>
      <c r="H2" s="2"/>
      <c r="I2" s="2"/>
      <c r="J2" s="2"/>
      <c r="K2" s="384"/>
      <c r="L2" s="384"/>
      <c r="M2" s="385"/>
      <c r="N2" s="385"/>
      <c r="O2" s="385"/>
      <c r="P2" s="385"/>
    </row>
    <row r="3" spans="1:16" ht="16.5" customHeight="1">
      <c r="A3" s="367" t="s">
        <v>11</v>
      </c>
      <c r="B3" s="370" t="s">
        <v>3</v>
      </c>
      <c r="C3" s="350" t="s">
        <v>262</v>
      </c>
      <c r="D3" s="350" t="s">
        <v>259</v>
      </c>
      <c r="E3" s="350" t="s">
        <v>261</v>
      </c>
      <c r="F3" s="350" t="s">
        <v>20</v>
      </c>
      <c r="G3" s="376" t="s">
        <v>4</v>
      </c>
      <c r="H3" s="377"/>
      <c r="I3" s="376" t="s">
        <v>0</v>
      </c>
      <c r="J3" s="377"/>
      <c r="K3" s="376" t="s">
        <v>1</v>
      </c>
      <c r="L3" s="377"/>
      <c r="M3" s="350" t="s">
        <v>246</v>
      </c>
      <c r="N3" s="378" t="s">
        <v>245</v>
      </c>
      <c r="O3" s="350" t="s">
        <v>21</v>
      </c>
      <c r="P3" s="373" t="s">
        <v>22</v>
      </c>
    </row>
    <row r="4" spans="1:16" ht="14.45" customHeight="1">
      <c r="A4" s="368"/>
      <c r="B4" s="371"/>
      <c r="C4" s="351"/>
      <c r="D4" s="351"/>
      <c r="E4" s="351"/>
      <c r="F4" s="351"/>
      <c r="G4" s="347" t="s">
        <v>2</v>
      </c>
      <c r="H4" s="345" t="s">
        <v>13</v>
      </c>
      <c r="I4" s="347" t="s">
        <v>2</v>
      </c>
      <c r="J4" s="345" t="s">
        <v>13</v>
      </c>
      <c r="K4" s="347" t="s">
        <v>2</v>
      </c>
      <c r="L4" s="345" t="s">
        <v>13</v>
      </c>
      <c r="M4" s="351"/>
      <c r="N4" s="379"/>
      <c r="O4" s="351"/>
      <c r="P4" s="374"/>
    </row>
    <row r="5" spans="1:16" ht="14.45" customHeight="1" thickBot="1">
      <c r="A5" s="369"/>
      <c r="B5" s="372"/>
      <c r="C5" s="352"/>
      <c r="D5" s="352"/>
      <c r="E5" s="352"/>
      <c r="F5" s="352"/>
      <c r="G5" s="348"/>
      <c r="H5" s="346"/>
      <c r="I5" s="348"/>
      <c r="J5" s="346"/>
      <c r="K5" s="348"/>
      <c r="L5" s="346"/>
      <c r="M5" s="352"/>
      <c r="N5" s="380"/>
      <c r="O5" s="352"/>
      <c r="P5" s="375"/>
    </row>
    <row r="6" spans="1:16" ht="14.45" hidden="1" customHeight="1" thickBot="1">
      <c r="A6" s="89"/>
      <c r="B6" s="90"/>
      <c r="C6" s="108"/>
      <c r="D6" s="88"/>
      <c r="E6"/>
      <c r="F6"/>
      <c r="G6" s="107"/>
      <c r="H6" s="109"/>
      <c r="I6" s="110"/>
      <c r="J6" s="109"/>
      <c r="K6" s="110"/>
      <c r="L6" s="135"/>
      <c r="M6" s="136"/>
      <c r="N6" s="147"/>
      <c r="O6" s="91"/>
      <c r="P6" s="92"/>
    </row>
    <row r="7" spans="1:16" ht="15.6" customHeight="1">
      <c r="A7" s="399" t="s">
        <v>14</v>
      </c>
      <c r="B7" s="337" t="s">
        <v>260</v>
      </c>
      <c r="C7" s="93" t="s">
        <v>265</v>
      </c>
      <c r="D7" s="165" t="s">
        <v>27</v>
      </c>
      <c r="E7" s="98">
        <f t="shared" ref="E7:E41" si="0">IFERROR(VLOOKUP(D7, 기본학점, 2, FALSE), "")</f>
        <v>4</v>
      </c>
      <c r="F7" s="99">
        <v>3</v>
      </c>
      <c r="G7" s="180">
        <v>3</v>
      </c>
      <c r="H7" s="181"/>
      <c r="I7" s="54"/>
      <c r="J7" s="53"/>
      <c r="K7" s="54"/>
      <c r="L7" s="55"/>
      <c r="M7" s="164"/>
      <c r="N7" s="137"/>
      <c r="O7" s="333">
        <f>SUM(F7:F11)</f>
        <v>18</v>
      </c>
      <c r="P7" s="335">
        <v>8</v>
      </c>
    </row>
    <row r="8" spans="1:16" ht="15.6" customHeight="1">
      <c r="A8" s="396"/>
      <c r="B8" s="331"/>
      <c r="C8" s="184" t="s">
        <v>265</v>
      </c>
      <c r="D8" s="167" t="s">
        <v>31</v>
      </c>
      <c r="E8" s="179">
        <f>IFERROR(VLOOKUP(D8, 기본학점, 2, FALSE), "")</f>
        <v>4</v>
      </c>
      <c r="F8" s="141">
        <v>3</v>
      </c>
      <c r="G8" s="118"/>
      <c r="H8" s="124">
        <v>3</v>
      </c>
      <c r="I8" s="57"/>
      <c r="J8" s="56"/>
      <c r="K8" s="57"/>
      <c r="L8" s="58"/>
      <c r="M8" s="166"/>
      <c r="N8" s="137"/>
      <c r="O8" s="329"/>
      <c r="P8" s="336"/>
    </row>
    <row r="9" spans="1:16" ht="15.6" customHeight="1">
      <c r="A9" s="396"/>
      <c r="B9" s="331"/>
      <c r="C9" s="184" t="s">
        <v>266</v>
      </c>
      <c r="D9" s="167" t="s">
        <v>30</v>
      </c>
      <c r="E9" s="179">
        <f>IFERROR(VLOOKUP(D9, 기본학점, 2, FALSE), "")</f>
        <v>4</v>
      </c>
      <c r="F9" s="141">
        <v>4</v>
      </c>
      <c r="G9" s="118"/>
      <c r="H9" s="124"/>
      <c r="I9" s="57">
        <v>4</v>
      </c>
      <c r="J9" s="56"/>
      <c r="K9" s="57"/>
      <c r="L9" s="58"/>
      <c r="M9" s="166"/>
      <c r="N9" s="137"/>
      <c r="O9" s="329"/>
      <c r="P9" s="336"/>
    </row>
    <row r="10" spans="1:16" ht="15.6" customHeight="1">
      <c r="A10" s="396"/>
      <c r="B10" s="331"/>
      <c r="C10" s="184" t="s">
        <v>266</v>
      </c>
      <c r="D10" s="167" t="s">
        <v>268</v>
      </c>
      <c r="E10" s="179">
        <f>IFERROR(VLOOKUP(D10, 기본학점, 2, FALSE), "")</f>
        <v>4</v>
      </c>
      <c r="F10" s="141">
        <v>4</v>
      </c>
      <c r="G10" s="118"/>
      <c r="H10" s="124"/>
      <c r="I10" s="57"/>
      <c r="J10" s="56">
        <v>4</v>
      </c>
      <c r="K10" s="57"/>
      <c r="L10" s="58"/>
      <c r="M10" s="166"/>
      <c r="N10" s="137"/>
      <c r="O10" s="329"/>
      <c r="P10" s="336"/>
    </row>
    <row r="11" spans="1:16" ht="15.6" customHeight="1">
      <c r="A11" s="396"/>
      <c r="B11" s="331"/>
      <c r="C11" s="137" t="s">
        <v>266</v>
      </c>
      <c r="D11" s="167" t="s">
        <v>269</v>
      </c>
      <c r="E11" s="179">
        <f t="shared" si="0"/>
        <v>4</v>
      </c>
      <c r="F11" s="141">
        <v>4</v>
      </c>
      <c r="G11" s="118"/>
      <c r="H11" s="124"/>
      <c r="I11" s="57"/>
      <c r="J11" s="56"/>
      <c r="K11" s="57">
        <v>4</v>
      </c>
      <c r="L11" s="58"/>
      <c r="M11" s="166"/>
      <c r="N11" s="137"/>
      <c r="O11" s="334"/>
      <c r="P11" s="336"/>
    </row>
    <row r="12" spans="1:16" ht="15.6" customHeight="1">
      <c r="A12" s="396"/>
      <c r="B12" s="330" t="s">
        <v>7</v>
      </c>
      <c r="C12" s="59" t="s">
        <v>265</v>
      </c>
      <c r="D12" s="169" t="s">
        <v>28</v>
      </c>
      <c r="E12" s="185">
        <f t="shared" si="0"/>
        <v>4</v>
      </c>
      <c r="F12" s="138">
        <v>4</v>
      </c>
      <c r="G12" s="100">
        <v>4</v>
      </c>
      <c r="H12" s="125"/>
      <c r="I12" s="61"/>
      <c r="J12" s="60"/>
      <c r="K12" s="100"/>
      <c r="L12" s="125"/>
      <c r="M12" s="170"/>
      <c r="N12" s="59"/>
      <c r="O12" s="329">
        <f>SUM(F12:F16)</f>
        <v>20</v>
      </c>
      <c r="P12" s="343">
        <v>8</v>
      </c>
    </row>
    <row r="13" spans="1:16" ht="15.6" customHeight="1">
      <c r="A13" s="396"/>
      <c r="B13" s="331"/>
      <c r="C13" s="137" t="s">
        <v>265</v>
      </c>
      <c r="D13" s="167" t="s">
        <v>34</v>
      </c>
      <c r="E13" s="179">
        <f t="shared" si="0"/>
        <v>4</v>
      </c>
      <c r="F13" s="158">
        <v>4</v>
      </c>
      <c r="G13" s="102"/>
      <c r="H13" s="124">
        <v>4</v>
      </c>
      <c r="I13" s="57"/>
      <c r="J13" s="56"/>
      <c r="K13" s="102"/>
      <c r="L13" s="124"/>
      <c r="M13" s="166"/>
      <c r="N13" s="137"/>
      <c r="O13" s="329"/>
      <c r="P13" s="336"/>
    </row>
    <row r="14" spans="1:16" ht="15.6" customHeight="1">
      <c r="A14" s="396"/>
      <c r="B14" s="331"/>
      <c r="C14" s="137" t="s">
        <v>266</v>
      </c>
      <c r="D14" s="167" t="s">
        <v>271</v>
      </c>
      <c r="E14" s="179">
        <f>IFERROR(VLOOKUP(D14, 기본학점, 2, FALSE), "")</f>
        <v>4</v>
      </c>
      <c r="F14" s="141">
        <v>4</v>
      </c>
      <c r="G14" s="102"/>
      <c r="H14" s="124"/>
      <c r="I14" s="57">
        <v>4</v>
      </c>
      <c r="J14" s="56"/>
      <c r="K14" s="102"/>
      <c r="L14" s="124"/>
      <c r="M14" s="166"/>
      <c r="N14" s="137"/>
      <c r="O14" s="329"/>
      <c r="P14" s="336"/>
    </row>
    <row r="15" spans="1:16" ht="15.6" customHeight="1">
      <c r="A15" s="396"/>
      <c r="B15" s="331"/>
      <c r="C15" s="137" t="s">
        <v>266</v>
      </c>
      <c r="D15" s="167" t="s">
        <v>272</v>
      </c>
      <c r="E15" s="179">
        <f>IFERROR(VLOOKUP(D15, 기본학점, 2, FALSE), "")</f>
        <v>4</v>
      </c>
      <c r="F15" s="141">
        <v>4</v>
      </c>
      <c r="G15" s="102"/>
      <c r="H15" s="124"/>
      <c r="I15" s="57"/>
      <c r="J15" s="56">
        <v>4</v>
      </c>
      <c r="K15" s="102"/>
      <c r="L15" s="124"/>
      <c r="M15" s="166"/>
      <c r="N15" s="137"/>
      <c r="O15" s="329"/>
      <c r="P15" s="336"/>
    </row>
    <row r="16" spans="1:16" ht="15.6" customHeight="1">
      <c r="A16" s="396"/>
      <c r="B16" s="331"/>
      <c r="C16" s="137" t="s">
        <v>266</v>
      </c>
      <c r="D16" s="167" t="s">
        <v>35</v>
      </c>
      <c r="E16" s="179">
        <f t="shared" si="0"/>
        <v>4</v>
      </c>
      <c r="F16" s="141">
        <v>4</v>
      </c>
      <c r="G16" s="102"/>
      <c r="H16" s="124"/>
      <c r="I16" s="57"/>
      <c r="J16" s="56"/>
      <c r="K16" s="57">
        <v>4</v>
      </c>
      <c r="L16" s="56"/>
      <c r="M16" s="166"/>
      <c r="N16" s="137"/>
      <c r="O16" s="329"/>
      <c r="P16" s="336"/>
    </row>
    <row r="17" spans="1:20" ht="15.6" customHeight="1">
      <c r="A17" s="396"/>
      <c r="B17" s="330" t="s">
        <v>16</v>
      </c>
      <c r="C17" s="59" t="s">
        <v>265</v>
      </c>
      <c r="D17" s="169" t="s">
        <v>29</v>
      </c>
      <c r="E17" s="185">
        <f t="shared" si="0"/>
        <v>4</v>
      </c>
      <c r="F17" s="140">
        <v>4</v>
      </c>
      <c r="G17" s="117">
        <v>4</v>
      </c>
      <c r="H17" s="125"/>
      <c r="I17" s="61"/>
      <c r="J17" s="60"/>
      <c r="K17" s="61"/>
      <c r="L17" s="60"/>
      <c r="M17" s="170"/>
      <c r="N17" s="59"/>
      <c r="O17" s="328">
        <f>SUM(F17:F21)</f>
        <v>20</v>
      </c>
      <c r="P17" s="343">
        <v>8</v>
      </c>
    </row>
    <row r="18" spans="1:20" ht="15.6" customHeight="1">
      <c r="A18" s="396"/>
      <c r="B18" s="331"/>
      <c r="C18" s="137" t="s">
        <v>265</v>
      </c>
      <c r="D18" s="167" t="s">
        <v>40</v>
      </c>
      <c r="E18" s="179">
        <f>IFERROR(VLOOKUP(D18, 기본학점, 2, FALSE), "")</f>
        <v>4</v>
      </c>
      <c r="F18" s="141">
        <v>4</v>
      </c>
      <c r="G18" s="118"/>
      <c r="H18" s="124">
        <v>4</v>
      </c>
      <c r="I18" s="57"/>
      <c r="J18" s="56"/>
      <c r="K18" s="57"/>
      <c r="L18" s="56"/>
      <c r="M18" s="166"/>
      <c r="N18" s="137"/>
      <c r="O18" s="329"/>
      <c r="P18" s="336"/>
    </row>
    <row r="19" spans="1:20" ht="15.6" customHeight="1">
      <c r="A19" s="396"/>
      <c r="B19" s="331"/>
      <c r="C19" s="137" t="s">
        <v>266</v>
      </c>
      <c r="D19" s="167" t="s">
        <v>55</v>
      </c>
      <c r="E19" s="179">
        <f>IFERROR(VLOOKUP(D19, 기본학점, 2, FALSE), "")</f>
        <v>4</v>
      </c>
      <c r="F19" s="141">
        <v>4</v>
      </c>
      <c r="G19" s="118"/>
      <c r="H19" s="124"/>
      <c r="I19" s="57">
        <v>4</v>
      </c>
      <c r="J19" s="56"/>
      <c r="K19" s="57"/>
      <c r="L19" s="56"/>
      <c r="M19" s="166"/>
      <c r="N19" s="137"/>
      <c r="O19" s="329"/>
      <c r="P19" s="336"/>
    </row>
    <row r="20" spans="1:20" ht="15.6" customHeight="1">
      <c r="A20" s="396"/>
      <c r="B20" s="331"/>
      <c r="C20" s="137" t="s">
        <v>266</v>
      </c>
      <c r="D20" s="167" t="s">
        <v>274</v>
      </c>
      <c r="E20" s="179">
        <f>IFERROR(VLOOKUP(D20, 기본학점, 2, FALSE), "")</f>
        <v>4</v>
      </c>
      <c r="F20" s="141">
        <v>4</v>
      </c>
      <c r="G20" s="118"/>
      <c r="H20" s="124"/>
      <c r="I20" s="57"/>
      <c r="J20" s="56">
        <v>4</v>
      </c>
      <c r="K20" s="57"/>
      <c r="L20" s="56"/>
      <c r="M20" s="166"/>
      <c r="N20" s="137"/>
      <c r="O20" s="329"/>
      <c r="P20" s="336"/>
    </row>
    <row r="21" spans="1:20" ht="15.6" customHeight="1">
      <c r="A21" s="396"/>
      <c r="B21" s="331"/>
      <c r="C21" s="137" t="s">
        <v>266</v>
      </c>
      <c r="D21" s="167" t="s">
        <v>41</v>
      </c>
      <c r="E21" s="179">
        <f t="shared" si="0"/>
        <v>4</v>
      </c>
      <c r="F21" s="141">
        <v>4</v>
      </c>
      <c r="G21" s="118"/>
      <c r="H21" s="124"/>
      <c r="I21" s="57"/>
      <c r="J21" s="56"/>
      <c r="K21" s="57">
        <v>4</v>
      </c>
      <c r="L21" s="56"/>
      <c r="M21" s="166"/>
      <c r="N21" s="137"/>
      <c r="O21" s="329"/>
      <c r="P21" s="336"/>
    </row>
    <row r="22" spans="1:20" ht="15.6" customHeight="1">
      <c r="A22" s="396"/>
      <c r="B22" s="330" t="s">
        <v>186</v>
      </c>
      <c r="C22" s="96" t="s">
        <v>265</v>
      </c>
      <c r="D22" s="169" t="s">
        <v>275</v>
      </c>
      <c r="E22" s="185">
        <f t="shared" si="0"/>
        <v>4</v>
      </c>
      <c r="F22" s="140">
        <v>3</v>
      </c>
      <c r="G22" s="117">
        <v>3</v>
      </c>
      <c r="H22" s="125"/>
      <c r="I22" s="61"/>
      <c r="J22" s="60"/>
      <c r="K22" s="61"/>
      <c r="L22" s="62"/>
      <c r="M22" s="170"/>
      <c r="N22" s="59"/>
      <c r="O22" s="328">
        <f>SUM(F22:F23)</f>
        <v>6</v>
      </c>
      <c r="P22" s="343">
        <v>8</v>
      </c>
    </row>
    <row r="23" spans="1:20" ht="15.6" customHeight="1">
      <c r="A23" s="396"/>
      <c r="B23" s="331"/>
      <c r="C23" s="95" t="s">
        <v>265</v>
      </c>
      <c r="D23" s="171" t="s">
        <v>276</v>
      </c>
      <c r="E23" s="157">
        <f t="shared" si="0"/>
        <v>4</v>
      </c>
      <c r="F23" s="139">
        <v>3</v>
      </c>
      <c r="G23" s="119"/>
      <c r="H23" s="126">
        <v>3</v>
      </c>
      <c r="I23" s="64"/>
      <c r="J23" s="63"/>
      <c r="K23" s="64"/>
      <c r="L23" s="63"/>
      <c r="M23" s="171"/>
      <c r="N23" s="95"/>
      <c r="O23" s="334"/>
      <c r="P23" s="349"/>
    </row>
    <row r="24" spans="1:20" ht="15.6" customHeight="1">
      <c r="A24" s="396"/>
      <c r="B24" s="331"/>
      <c r="C24" s="59" t="s">
        <v>265</v>
      </c>
      <c r="D24" s="169" t="s">
        <v>277</v>
      </c>
      <c r="E24" s="185">
        <f t="shared" si="0"/>
        <v>3</v>
      </c>
      <c r="F24" s="140">
        <v>3</v>
      </c>
      <c r="G24" s="117">
        <v>3</v>
      </c>
      <c r="H24" s="125"/>
      <c r="I24" s="61"/>
      <c r="J24" s="60"/>
      <c r="K24" s="61"/>
      <c r="L24" s="62"/>
      <c r="M24" s="170"/>
      <c r="N24" s="59"/>
      <c r="O24" s="328">
        <f>SUM(F24:F25)</f>
        <v>6</v>
      </c>
      <c r="P24" s="343">
        <v>6</v>
      </c>
    </row>
    <row r="25" spans="1:20" ht="15.6" customHeight="1">
      <c r="A25" s="396"/>
      <c r="B25" s="331"/>
      <c r="C25" s="137" t="s">
        <v>265</v>
      </c>
      <c r="D25" s="167" t="s">
        <v>278</v>
      </c>
      <c r="E25" s="179">
        <f>IFERROR(VLOOKUP(D25, 기본학점, 2, FALSE), "")</f>
        <v>3</v>
      </c>
      <c r="F25" s="141">
        <v>3</v>
      </c>
      <c r="G25" s="118"/>
      <c r="H25" s="124">
        <v>3</v>
      </c>
      <c r="I25" s="57"/>
      <c r="J25" s="56"/>
      <c r="K25" s="57"/>
      <c r="L25" s="58"/>
      <c r="M25" s="166"/>
      <c r="N25" s="137"/>
      <c r="O25" s="329"/>
      <c r="P25" s="336"/>
    </row>
    <row r="26" spans="1:20" ht="15.6" customHeight="1">
      <c r="A26" s="396"/>
      <c r="B26" s="330" t="s">
        <v>8</v>
      </c>
      <c r="C26" s="59" t="s">
        <v>265</v>
      </c>
      <c r="D26" s="169" t="s">
        <v>279</v>
      </c>
      <c r="E26" s="185">
        <f t="shared" si="0"/>
        <v>4</v>
      </c>
      <c r="F26" s="140">
        <v>4</v>
      </c>
      <c r="G26" s="117">
        <v>4</v>
      </c>
      <c r="H26" s="125"/>
      <c r="I26" s="61"/>
      <c r="J26" s="60"/>
      <c r="K26" s="67"/>
      <c r="L26" s="68"/>
      <c r="M26" s="170"/>
      <c r="N26" s="59"/>
      <c r="O26" s="328">
        <f>SUM(F26:F29)</f>
        <v>10</v>
      </c>
      <c r="P26" s="343">
        <v>10</v>
      </c>
    </row>
    <row r="27" spans="1:20" ht="15.6" customHeight="1">
      <c r="A27" s="396"/>
      <c r="B27" s="331"/>
      <c r="C27" s="94" t="s">
        <v>265</v>
      </c>
      <c r="D27" s="167" t="s">
        <v>280</v>
      </c>
      <c r="E27" s="179">
        <f t="shared" si="0"/>
        <v>4</v>
      </c>
      <c r="F27" s="141">
        <v>4</v>
      </c>
      <c r="G27" s="118"/>
      <c r="H27" s="124">
        <v>4</v>
      </c>
      <c r="I27" s="57"/>
      <c r="J27" s="56"/>
      <c r="K27" s="69"/>
      <c r="L27" s="70"/>
      <c r="M27" s="166"/>
      <c r="N27" s="137"/>
      <c r="O27" s="329"/>
      <c r="P27" s="336"/>
    </row>
    <row r="28" spans="1:20" ht="15.6" customHeight="1">
      <c r="A28" s="396"/>
      <c r="B28" s="331"/>
      <c r="C28" s="137" t="s">
        <v>265</v>
      </c>
      <c r="D28" s="167" t="s">
        <v>281</v>
      </c>
      <c r="E28" s="179">
        <f t="shared" si="0"/>
        <v>1</v>
      </c>
      <c r="F28" s="141">
        <v>1</v>
      </c>
      <c r="G28" s="118">
        <v>1</v>
      </c>
      <c r="H28" s="124"/>
      <c r="I28" s="57"/>
      <c r="J28" s="56"/>
      <c r="K28" s="69"/>
      <c r="L28" s="70"/>
      <c r="M28" s="166"/>
      <c r="N28" s="137"/>
      <c r="O28" s="329"/>
      <c r="P28" s="336"/>
    </row>
    <row r="29" spans="1:20" ht="15.6" customHeight="1">
      <c r="A29" s="396"/>
      <c r="B29" s="331"/>
      <c r="C29" s="137" t="s">
        <v>265</v>
      </c>
      <c r="D29" s="167" t="s">
        <v>282</v>
      </c>
      <c r="E29" s="179">
        <f>IFERROR(VLOOKUP(D29, 기본학점, 2, FALSE), "")</f>
        <v>1</v>
      </c>
      <c r="F29" s="141">
        <v>1</v>
      </c>
      <c r="G29" s="118"/>
      <c r="H29" s="124">
        <v>1</v>
      </c>
      <c r="I29" s="57"/>
      <c r="J29" s="56"/>
      <c r="K29" s="69"/>
      <c r="L29" s="70"/>
      <c r="M29" s="166"/>
      <c r="N29" s="137"/>
      <c r="O29" s="329"/>
      <c r="P29" s="336"/>
    </row>
    <row r="30" spans="1:20" ht="15.6" customHeight="1">
      <c r="A30" s="396"/>
      <c r="B30" s="330" t="s">
        <v>9</v>
      </c>
      <c r="C30" s="59" t="s">
        <v>266</v>
      </c>
      <c r="D30" s="169" t="s">
        <v>283</v>
      </c>
      <c r="E30" s="185">
        <f t="shared" si="0"/>
        <v>3</v>
      </c>
      <c r="F30" s="138">
        <v>2</v>
      </c>
      <c r="G30" s="100">
        <v>2</v>
      </c>
      <c r="H30" s="125"/>
      <c r="I30" s="61"/>
      <c r="J30" s="60"/>
      <c r="K30" s="61"/>
      <c r="L30" s="62"/>
      <c r="M30" s="170"/>
      <c r="N30" s="59"/>
      <c r="O30" s="328">
        <f>SUM(F30:F35)</f>
        <v>10</v>
      </c>
      <c r="P30" s="343">
        <v>10</v>
      </c>
      <c r="R30" s="6"/>
      <c r="S30" s="6"/>
      <c r="T30" s="6"/>
    </row>
    <row r="31" spans="1:20" ht="15.6" customHeight="1">
      <c r="A31" s="396"/>
      <c r="B31" s="331"/>
      <c r="C31" s="137" t="s">
        <v>266</v>
      </c>
      <c r="D31" s="167" t="s">
        <v>284</v>
      </c>
      <c r="E31" s="179">
        <f>IFERROR(VLOOKUP(D31, 기본학점, 2, FALSE), "")</f>
        <v>3</v>
      </c>
      <c r="F31" s="141">
        <v>2</v>
      </c>
      <c r="G31" s="102"/>
      <c r="H31" s="124">
        <v>2</v>
      </c>
      <c r="I31" s="57"/>
      <c r="J31" s="56"/>
      <c r="K31" s="57"/>
      <c r="L31" s="58"/>
      <c r="M31" s="166"/>
      <c r="N31" s="137"/>
      <c r="O31" s="329"/>
      <c r="P31" s="336"/>
      <c r="R31" s="6"/>
      <c r="S31" s="6"/>
      <c r="T31" s="6"/>
    </row>
    <row r="32" spans="1:20" ht="15.6" customHeight="1">
      <c r="A32" s="396"/>
      <c r="B32" s="331"/>
      <c r="C32" s="137" t="s">
        <v>267</v>
      </c>
      <c r="D32" s="167" t="s">
        <v>170</v>
      </c>
      <c r="E32" s="179">
        <f t="shared" si="0"/>
        <v>3</v>
      </c>
      <c r="F32" s="141">
        <v>2</v>
      </c>
      <c r="G32" s="102"/>
      <c r="H32" s="124"/>
      <c r="I32" s="57">
        <v>2</v>
      </c>
      <c r="J32" s="56"/>
      <c r="K32" s="57"/>
      <c r="L32" s="58"/>
      <c r="M32" s="166"/>
      <c r="N32" s="137"/>
      <c r="O32" s="329"/>
      <c r="P32" s="336"/>
      <c r="R32" s="6"/>
      <c r="S32" s="6"/>
      <c r="T32" s="6"/>
    </row>
    <row r="33" spans="1:20" ht="15.6" customHeight="1">
      <c r="A33" s="396"/>
      <c r="B33" s="331"/>
      <c r="C33" s="137" t="s">
        <v>267</v>
      </c>
      <c r="D33" s="167" t="s">
        <v>171</v>
      </c>
      <c r="E33" s="179">
        <f>IFERROR(VLOOKUP(D33, 기본학점, 2, FALSE), "")</f>
        <v>3</v>
      </c>
      <c r="F33" s="141">
        <v>2</v>
      </c>
      <c r="G33" s="102"/>
      <c r="H33" s="124"/>
      <c r="I33" s="57"/>
      <c r="J33" s="56">
        <v>2</v>
      </c>
      <c r="K33" s="57"/>
      <c r="L33" s="58"/>
      <c r="M33" s="166"/>
      <c r="N33" s="137"/>
      <c r="O33" s="329"/>
      <c r="P33" s="336"/>
      <c r="R33" s="6"/>
      <c r="S33" s="6"/>
      <c r="T33" s="6"/>
    </row>
    <row r="34" spans="1:20" ht="15.6" customHeight="1">
      <c r="A34" s="396"/>
      <c r="B34" s="331"/>
      <c r="C34" s="137" t="s">
        <v>270</v>
      </c>
      <c r="D34" s="167" t="s">
        <v>285</v>
      </c>
      <c r="E34" s="179">
        <f>IFERROR(VLOOKUP(D34, 기본학점, 2, FALSE), "")</f>
        <v>2</v>
      </c>
      <c r="F34" s="141">
        <v>1</v>
      </c>
      <c r="G34" s="102"/>
      <c r="H34" s="124"/>
      <c r="I34" s="57"/>
      <c r="J34" s="56"/>
      <c r="K34" s="57">
        <v>1</v>
      </c>
      <c r="L34" s="58"/>
      <c r="M34" s="166"/>
      <c r="N34" s="137"/>
      <c r="O34" s="329"/>
      <c r="P34" s="336"/>
      <c r="R34" s="6"/>
      <c r="S34" s="6"/>
      <c r="T34" s="6"/>
    </row>
    <row r="35" spans="1:20" ht="15.6" customHeight="1">
      <c r="A35" s="396"/>
      <c r="B35" s="331"/>
      <c r="C35" s="137" t="s">
        <v>270</v>
      </c>
      <c r="D35" s="167" t="s">
        <v>286</v>
      </c>
      <c r="E35" s="179">
        <f t="shared" si="0"/>
        <v>2</v>
      </c>
      <c r="F35" s="141">
        <v>1</v>
      </c>
      <c r="G35" s="118"/>
      <c r="H35" s="124"/>
      <c r="I35" s="57"/>
      <c r="J35" s="56"/>
      <c r="K35" s="57"/>
      <c r="L35" s="58">
        <v>1</v>
      </c>
      <c r="M35" s="166"/>
      <c r="N35" s="137"/>
      <c r="O35" s="329"/>
      <c r="P35" s="336"/>
      <c r="R35" s="6"/>
      <c r="S35" s="6"/>
      <c r="T35" s="6"/>
    </row>
    <row r="36" spans="1:20" ht="15.6" customHeight="1">
      <c r="A36" s="396"/>
      <c r="B36" s="330" t="s">
        <v>10</v>
      </c>
      <c r="C36" s="59" t="s">
        <v>266</v>
      </c>
      <c r="D36" s="169" t="s">
        <v>287</v>
      </c>
      <c r="E36" s="185">
        <f t="shared" si="0"/>
        <v>3</v>
      </c>
      <c r="F36" s="140">
        <v>2</v>
      </c>
      <c r="G36" s="100">
        <v>2</v>
      </c>
      <c r="H36" s="125" t="s">
        <v>318</v>
      </c>
      <c r="I36" s="61"/>
      <c r="J36" s="60"/>
      <c r="K36" s="61"/>
      <c r="L36" s="62"/>
      <c r="M36" s="170"/>
      <c r="N36" s="59"/>
      <c r="O36" s="328">
        <v>10</v>
      </c>
      <c r="P36" s="343">
        <v>10</v>
      </c>
      <c r="R36" s="6"/>
      <c r="S36" s="6"/>
      <c r="T36" s="6"/>
    </row>
    <row r="37" spans="1:20" ht="15.6" customHeight="1">
      <c r="A37" s="396"/>
      <c r="B37" s="331"/>
      <c r="C37" s="137" t="s">
        <v>266</v>
      </c>
      <c r="D37" s="167" t="s">
        <v>288</v>
      </c>
      <c r="E37" s="179">
        <f t="shared" si="0"/>
        <v>3</v>
      </c>
      <c r="F37" s="141">
        <v>2</v>
      </c>
      <c r="G37" s="102" t="s">
        <v>318</v>
      </c>
      <c r="H37" s="124">
        <v>2</v>
      </c>
      <c r="I37" s="57"/>
      <c r="J37" s="56"/>
      <c r="K37" s="57"/>
      <c r="L37" s="58"/>
      <c r="M37" s="166"/>
      <c r="N37" s="137"/>
      <c r="O37" s="329"/>
      <c r="P37" s="336"/>
      <c r="R37" s="6"/>
      <c r="S37" s="6"/>
      <c r="T37" s="6"/>
    </row>
    <row r="38" spans="1:20" ht="15.6" customHeight="1">
      <c r="A38" s="396"/>
      <c r="B38" s="331"/>
      <c r="C38" s="137" t="s">
        <v>270</v>
      </c>
      <c r="D38" s="167" t="s">
        <v>46</v>
      </c>
      <c r="E38" s="179">
        <f>IFERROR(VLOOKUP(D38, 기본학점, 2, FALSE), "")</f>
        <v>3</v>
      </c>
      <c r="F38" s="141">
        <v>3</v>
      </c>
      <c r="G38" s="102"/>
      <c r="H38" s="124"/>
      <c r="I38" s="57"/>
      <c r="J38" s="56"/>
      <c r="K38" s="57">
        <v>3</v>
      </c>
      <c r="L38" s="58" t="s">
        <v>319</v>
      </c>
      <c r="M38" s="166"/>
      <c r="N38" s="137"/>
      <c r="O38" s="329"/>
      <c r="P38" s="336"/>
      <c r="R38" s="6"/>
      <c r="S38" s="6"/>
      <c r="T38" s="6"/>
    </row>
    <row r="39" spans="1:20" ht="15.6" customHeight="1" thickBot="1">
      <c r="A39" s="398"/>
      <c r="B39" s="332"/>
      <c r="C39" s="251" t="s">
        <v>267</v>
      </c>
      <c r="D39" s="196" t="s">
        <v>71</v>
      </c>
      <c r="E39" s="252">
        <f>IFERROR(VLOOKUP(D39, 기본학점, 2, FALSE), "")</f>
        <v>3</v>
      </c>
      <c r="F39" s="253">
        <v>3</v>
      </c>
      <c r="G39" s="254"/>
      <c r="H39" s="255"/>
      <c r="I39" s="256"/>
      <c r="J39" s="257"/>
      <c r="K39" s="256" t="s">
        <v>319</v>
      </c>
      <c r="L39" s="258">
        <v>3</v>
      </c>
      <c r="M39" s="173"/>
      <c r="N39" s="251"/>
      <c r="O39" s="338"/>
      <c r="P39" s="344"/>
      <c r="R39" s="6"/>
      <c r="S39" s="6"/>
      <c r="T39" s="6"/>
    </row>
    <row r="40" spans="1:20" ht="15.6" customHeight="1">
      <c r="A40" s="396" t="s">
        <v>328</v>
      </c>
      <c r="B40" s="246" t="s">
        <v>189</v>
      </c>
      <c r="C40" s="207" t="s">
        <v>266</v>
      </c>
      <c r="D40" s="195" t="s">
        <v>48</v>
      </c>
      <c r="E40" s="98">
        <f t="shared" si="0"/>
        <v>4</v>
      </c>
      <c r="F40" s="99">
        <v>3</v>
      </c>
      <c r="G40" s="247"/>
      <c r="H40" s="205"/>
      <c r="I40" s="65"/>
      <c r="J40" s="66"/>
      <c r="K40" s="65"/>
      <c r="L40" s="55"/>
      <c r="M40" s="164"/>
      <c r="N40" s="207"/>
      <c r="O40" s="340">
        <v>8</v>
      </c>
      <c r="P40" s="336">
        <v>16</v>
      </c>
      <c r="R40" s="6"/>
      <c r="S40" s="6"/>
      <c r="T40" s="6"/>
    </row>
    <row r="41" spans="1:20" ht="15.6" customHeight="1">
      <c r="A41" s="396"/>
      <c r="B41" s="330" t="s">
        <v>244</v>
      </c>
      <c r="C41" s="59" t="s">
        <v>267</v>
      </c>
      <c r="D41" s="169" t="s">
        <v>51</v>
      </c>
      <c r="E41" s="185">
        <f t="shared" si="0"/>
        <v>4</v>
      </c>
      <c r="F41" s="140">
        <v>3</v>
      </c>
      <c r="G41" s="203" t="s">
        <v>320</v>
      </c>
      <c r="H41" s="205" t="s">
        <v>320</v>
      </c>
      <c r="I41" s="61"/>
      <c r="J41" s="60"/>
      <c r="K41" s="61"/>
      <c r="L41" s="62"/>
      <c r="M41" s="170"/>
      <c r="N41" s="59"/>
      <c r="O41" s="341"/>
      <c r="P41" s="336"/>
      <c r="R41" s="6"/>
      <c r="S41" s="6"/>
      <c r="T41" s="6"/>
    </row>
    <row r="42" spans="1:20" ht="15.6" customHeight="1">
      <c r="A42" s="396"/>
      <c r="B42" s="331"/>
      <c r="C42" s="137" t="s">
        <v>266</v>
      </c>
      <c r="D42" s="171" t="s">
        <v>289</v>
      </c>
      <c r="E42" s="179">
        <f>IFERROR(VLOOKUP(D42, 기본학점, 2, FALSE), "")</f>
        <v>4</v>
      </c>
      <c r="F42" s="158">
        <v>3</v>
      </c>
      <c r="G42" s="204"/>
      <c r="H42" s="127"/>
      <c r="I42" s="57"/>
      <c r="J42" s="56"/>
      <c r="K42" s="57"/>
      <c r="L42" s="58"/>
      <c r="M42" s="166"/>
      <c r="N42" s="137"/>
      <c r="O42" s="341"/>
      <c r="P42" s="336"/>
      <c r="R42" s="6"/>
      <c r="S42" s="6"/>
      <c r="T42" s="6"/>
    </row>
    <row r="43" spans="1:20" ht="15" customHeight="1">
      <c r="A43" s="396"/>
      <c r="B43" s="330" t="s">
        <v>190</v>
      </c>
      <c r="C43" s="59" t="s">
        <v>270</v>
      </c>
      <c r="D43" s="195" t="s">
        <v>290</v>
      </c>
      <c r="E43" s="185">
        <v>2</v>
      </c>
      <c r="F43" s="140">
        <v>1</v>
      </c>
      <c r="G43" s="296" t="s">
        <v>321</v>
      </c>
      <c r="H43" s="125"/>
      <c r="I43" s="61"/>
      <c r="J43" s="60"/>
      <c r="K43" s="61"/>
      <c r="L43" s="62"/>
      <c r="M43" s="170" t="s">
        <v>292</v>
      </c>
      <c r="N43" s="59"/>
      <c r="O43" s="341"/>
      <c r="P43" s="336"/>
      <c r="R43" s="6"/>
      <c r="S43" s="6"/>
      <c r="T43" s="6"/>
    </row>
    <row r="44" spans="1:20" ht="15.6" customHeight="1">
      <c r="A44" s="396"/>
      <c r="B44" s="331"/>
      <c r="C44" s="137" t="s">
        <v>267</v>
      </c>
      <c r="D44" s="167" t="s">
        <v>333</v>
      </c>
      <c r="E44" s="179">
        <v>2</v>
      </c>
      <c r="F44" s="141">
        <v>1</v>
      </c>
      <c r="G44" s="297"/>
      <c r="H44" s="124"/>
      <c r="I44" s="57"/>
      <c r="J44" s="56"/>
      <c r="K44" s="57"/>
      <c r="L44" s="58"/>
      <c r="M44" s="166" t="s">
        <v>293</v>
      </c>
      <c r="N44" s="137"/>
      <c r="O44" s="341"/>
      <c r="P44" s="336"/>
      <c r="R44" s="6"/>
      <c r="S44" s="6"/>
      <c r="T44" s="6"/>
    </row>
    <row r="45" spans="1:20" ht="15.6" customHeight="1">
      <c r="A45" s="396"/>
      <c r="B45" s="331"/>
      <c r="C45" s="137" t="s">
        <v>270</v>
      </c>
      <c r="D45" s="167" t="s">
        <v>291</v>
      </c>
      <c r="E45" s="179">
        <v>2</v>
      </c>
      <c r="F45" s="158">
        <v>1</v>
      </c>
      <c r="G45" s="102"/>
      <c r="H45" s="177" t="s">
        <v>321</v>
      </c>
      <c r="I45" s="57"/>
      <c r="J45" s="56"/>
      <c r="K45" s="57"/>
      <c r="L45" s="58"/>
      <c r="M45" s="166" t="s">
        <v>292</v>
      </c>
      <c r="N45" s="137"/>
      <c r="O45" s="341"/>
      <c r="P45" s="336"/>
      <c r="R45" s="6"/>
      <c r="S45" s="6"/>
      <c r="T45" s="6"/>
    </row>
    <row r="46" spans="1:20" ht="15.6" customHeight="1" thickBot="1">
      <c r="A46" s="398"/>
      <c r="B46" s="332"/>
      <c r="C46" s="39" t="s">
        <v>267</v>
      </c>
      <c r="D46" s="196" t="s">
        <v>334</v>
      </c>
      <c r="E46" s="112">
        <v>2</v>
      </c>
      <c r="F46" s="112">
        <v>1</v>
      </c>
      <c r="G46" s="111"/>
      <c r="H46" s="206"/>
      <c r="I46" s="41"/>
      <c r="J46" s="40"/>
      <c r="K46" s="41"/>
      <c r="L46" s="44"/>
      <c r="M46" s="173" t="s">
        <v>292</v>
      </c>
      <c r="N46" s="87"/>
      <c r="O46" s="342"/>
      <c r="P46" s="344"/>
      <c r="R46" s="6"/>
      <c r="S46" s="6"/>
      <c r="T46" s="6"/>
    </row>
    <row r="47" spans="1:20" ht="15.6" customHeight="1">
      <c r="A47" s="395" t="s">
        <v>18</v>
      </c>
      <c r="B47" s="193" t="s">
        <v>6</v>
      </c>
      <c r="C47" s="30" t="s">
        <v>267</v>
      </c>
      <c r="D47" s="318" t="s">
        <v>60</v>
      </c>
      <c r="E47" s="186">
        <f t="shared" ref="E47:E70" si="1">IFERROR(VLOOKUP(D47, 기본학점, 2, FALSE), "")</f>
        <v>4</v>
      </c>
      <c r="F47" s="142">
        <v>3</v>
      </c>
      <c r="G47" s="187"/>
      <c r="H47" s="132"/>
      <c r="I47" s="419" t="s">
        <v>322</v>
      </c>
      <c r="J47" s="188"/>
      <c r="K47" s="7"/>
      <c r="L47" s="31"/>
      <c r="M47" s="176"/>
      <c r="N47" s="149"/>
      <c r="O47" s="406">
        <v>32</v>
      </c>
      <c r="P47" s="412"/>
      <c r="R47" s="6"/>
      <c r="S47" s="6"/>
      <c r="T47" s="6"/>
    </row>
    <row r="48" spans="1:20" ht="15.6" customHeight="1">
      <c r="A48" s="396"/>
      <c r="B48" s="194" t="s">
        <v>7</v>
      </c>
      <c r="C48" s="17" t="s">
        <v>270</v>
      </c>
      <c r="D48" s="169" t="s">
        <v>294</v>
      </c>
      <c r="E48" s="222">
        <f t="shared" si="1"/>
        <v>4</v>
      </c>
      <c r="F48" s="210">
        <v>3</v>
      </c>
      <c r="G48" s="189"/>
      <c r="H48" s="128"/>
      <c r="I48" s="420"/>
      <c r="J48" s="143"/>
      <c r="K48" s="15"/>
      <c r="L48" s="16"/>
      <c r="M48" s="175"/>
      <c r="N48" s="59"/>
      <c r="O48" s="407"/>
      <c r="P48" s="413"/>
      <c r="R48" s="6"/>
      <c r="S48" s="6"/>
      <c r="T48" s="6"/>
    </row>
    <row r="49" spans="1:20" ht="15.6" customHeight="1">
      <c r="A49" s="396"/>
      <c r="B49" s="194" t="s">
        <v>341</v>
      </c>
      <c r="C49" s="17" t="s">
        <v>270</v>
      </c>
      <c r="D49" s="169" t="s">
        <v>342</v>
      </c>
      <c r="E49" s="238">
        <f>IFERROR(VLOOKUP(D49, 기본학점, 2, FALSE), "")</f>
        <v>4</v>
      </c>
      <c r="F49" s="222">
        <v>3</v>
      </c>
      <c r="G49" s="189"/>
      <c r="H49" s="128"/>
      <c r="I49" s="420"/>
      <c r="J49" s="143"/>
      <c r="K49" s="15"/>
      <c r="L49" s="16"/>
      <c r="M49" s="175"/>
      <c r="N49" s="59"/>
      <c r="O49" s="407"/>
      <c r="P49" s="413"/>
      <c r="R49" s="6"/>
      <c r="S49" s="6"/>
      <c r="T49" s="6"/>
    </row>
    <row r="50" spans="1:20" ht="15.6" customHeight="1">
      <c r="A50" s="396"/>
      <c r="B50" s="330" t="s">
        <v>186</v>
      </c>
      <c r="C50" s="17" t="s">
        <v>270</v>
      </c>
      <c r="D50" s="169" t="s">
        <v>306</v>
      </c>
      <c r="E50" s="185">
        <f t="shared" si="1"/>
        <v>4</v>
      </c>
      <c r="F50" s="100">
        <v>3</v>
      </c>
      <c r="G50" s="104"/>
      <c r="H50" s="133"/>
      <c r="I50" s="420"/>
      <c r="J50" s="190"/>
      <c r="K50" s="33"/>
      <c r="L50" s="34"/>
      <c r="M50" s="175"/>
      <c r="N50" s="59"/>
      <c r="O50" s="407"/>
      <c r="P50" s="413"/>
    </row>
    <row r="51" spans="1:20" ht="15.6" customHeight="1">
      <c r="A51" s="396"/>
      <c r="B51" s="331"/>
      <c r="C51" s="8" t="s">
        <v>270</v>
      </c>
      <c r="D51" s="167" t="s">
        <v>146</v>
      </c>
      <c r="E51" s="179">
        <f>IFERROR(VLOOKUP(D51, 기본학점, 2, FALSE), "")</f>
        <v>4</v>
      </c>
      <c r="F51" s="102">
        <v>3</v>
      </c>
      <c r="G51" s="42"/>
      <c r="H51" s="134"/>
      <c r="I51" s="420"/>
      <c r="J51" s="191"/>
      <c r="K51" s="36"/>
      <c r="L51" s="37"/>
      <c r="M51" s="174"/>
      <c r="N51" s="137"/>
      <c r="O51" s="407"/>
      <c r="P51" s="413"/>
    </row>
    <row r="52" spans="1:20" ht="15.6" customHeight="1">
      <c r="A52" s="396"/>
      <c r="B52" s="331"/>
      <c r="C52" s="8" t="s">
        <v>270</v>
      </c>
      <c r="D52" s="167" t="s">
        <v>295</v>
      </c>
      <c r="E52" s="179">
        <f>IFERROR(VLOOKUP(D52, 기본학점, 2, FALSE), "")</f>
        <v>4</v>
      </c>
      <c r="F52" s="102">
        <v>3</v>
      </c>
      <c r="G52" s="42"/>
      <c r="H52" s="134"/>
      <c r="I52" s="420"/>
      <c r="J52" s="191"/>
      <c r="K52" s="36"/>
      <c r="L52" s="37"/>
      <c r="M52" s="174"/>
      <c r="N52" s="137"/>
      <c r="O52" s="407"/>
      <c r="P52" s="413"/>
    </row>
    <row r="53" spans="1:20" ht="15.6" customHeight="1">
      <c r="A53" s="396"/>
      <c r="B53" s="331"/>
      <c r="C53" s="8" t="s">
        <v>270</v>
      </c>
      <c r="D53" s="167" t="s">
        <v>311</v>
      </c>
      <c r="E53" s="179">
        <f t="shared" si="1"/>
        <v>4</v>
      </c>
      <c r="F53" s="102">
        <v>3</v>
      </c>
      <c r="G53" s="42"/>
      <c r="H53" s="134"/>
      <c r="I53" s="420"/>
      <c r="J53" s="191"/>
      <c r="K53" s="36"/>
      <c r="L53" s="37"/>
      <c r="M53" s="174"/>
      <c r="N53" s="137"/>
      <c r="O53" s="407"/>
      <c r="P53" s="413"/>
    </row>
    <row r="54" spans="1:20" ht="15.6" customHeight="1">
      <c r="A54" s="396"/>
      <c r="B54" s="339"/>
      <c r="C54" s="228" t="s">
        <v>266</v>
      </c>
      <c r="D54" s="195" t="s">
        <v>122</v>
      </c>
      <c r="E54" s="157">
        <f>IFERROR(VLOOKUP(D54, 기본학점, 2, FALSE), "")</f>
        <v>4</v>
      </c>
      <c r="F54" s="99">
        <v>3</v>
      </c>
      <c r="G54" s="219"/>
      <c r="H54" s="230"/>
      <c r="I54" s="420"/>
      <c r="J54" s="231"/>
      <c r="K54" s="43"/>
      <c r="L54" s="232"/>
      <c r="M54" s="226"/>
      <c r="N54" s="207"/>
      <c r="O54" s="407"/>
      <c r="P54" s="413"/>
    </row>
    <row r="55" spans="1:20" ht="15.6" customHeight="1">
      <c r="A55" s="396"/>
      <c r="B55" s="330" t="s">
        <v>243</v>
      </c>
      <c r="C55" s="17" t="s">
        <v>266</v>
      </c>
      <c r="D55" s="169" t="s">
        <v>297</v>
      </c>
      <c r="E55" s="185">
        <f t="shared" si="1"/>
        <v>4</v>
      </c>
      <c r="F55" s="100">
        <v>3</v>
      </c>
      <c r="G55" s="104"/>
      <c r="H55" s="133"/>
      <c r="I55" s="420"/>
      <c r="J55" s="46"/>
      <c r="K55" s="13"/>
      <c r="L55" s="32"/>
      <c r="M55" s="175"/>
      <c r="N55" s="59"/>
      <c r="O55" s="407"/>
      <c r="P55" s="413"/>
    </row>
    <row r="56" spans="1:20" ht="15.6" customHeight="1">
      <c r="A56" s="396"/>
      <c r="B56" s="331"/>
      <c r="C56" s="8" t="s">
        <v>266</v>
      </c>
      <c r="D56" s="167" t="s">
        <v>298</v>
      </c>
      <c r="E56" s="179">
        <f t="shared" si="1"/>
        <v>4</v>
      </c>
      <c r="F56" s="102">
        <v>3</v>
      </c>
      <c r="G56" s="42"/>
      <c r="H56" s="134"/>
      <c r="I56" s="420"/>
      <c r="J56" s="45"/>
      <c r="K56" s="9"/>
      <c r="L56" s="35"/>
      <c r="M56" s="174"/>
      <c r="N56" s="137"/>
      <c r="O56" s="407"/>
      <c r="P56" s="413"/>
    </row>
    <row r="57" spans="1:20" ht="15.6" customHeight="1">
      <c r="A57" s="396"/>
      <c r="B57" s="331"/>
      <c r="C57" s="8" t="s">
        <v>266</v>
      </c>
      <c r="D57" s="167" t="s">
        <v>299</v>
      </c>
      <c r="E57" s="179">
        <f>IFERROR(VLOOKUP(D57, 기본학점, 2, FALSE), "")</f>
        <v>4</v>
      </c>
      <c r="F57" s="102">
        <v>3</v>
      </c>
      <c r="G57" s="42"/>
      <c r="H57" s="134"/>
      <c r="I57" s="420"/>
      <c r="J57" s="45"/>
      <c r="K57" s="9"/>
      <c r="L57" s="35"/>
      <c r="M57" s="174"/>
      <c r="N57" s="137"/>
      <c r="O57" s="407"/>
      <c r="P57" s="413"/>
    </row>
    <row r="58" spans="1:20" ht="15.6" customHeight="1">
      <c r="A58" s="396"/>
      <c r="B58" s="331"/>
      <c r="C58" s="21" t="s">
        <v>266</v>
      </c>
      <c r="D58" s="172" t="s">
        <v>300</v>
      </c>
      <c r="E58" s="197">
        <f>IFERROR(VLOOKUP(D58, 기본학점, 2, FALSE), "")</f>
        <v>4</v>
      </c>
      <c r="F58" s="313">
        <v>3</v>
      </c>
      <c r="G58" s="120"/>
      <c r="H58" s="308"/>
      <c r="I58" s="420"/>
      <c r="J58" s="314"/>
      <c r="K58" s="309"/>
      <c r="L58" s="310"/>
      <c r="M58" s="198"/>
      <c r="N58" s="87"/>
      <c r="O58" s="407"/>
      <c r="P58" s="413"/>
    </row>
    <row r="59" spans="1:20" ht="15.6" customHeight="1">
      <c r="A59" s="396"/>
      <c r="B59" s="364" t="s">
        <v>25</v>
      </c>
      <c r="C59" s="17" t="s">
        <v>270</v>
      </c>
      <c r="D59" s="169" t="s">
        <v>349</v>
      </c>
      <c r="E59" s="185">
        <v>3</v>
      </c>
      <c r="F59" s="140">
        <v>3</v>
      </c>
      <c r="G59" s="104"/>
      <c r="H59" s="133"/>
      <c r="I59" s="420"/>
      <c r="J59" s="46"/>
      <c r="K59" s="13"/>
      <c r="L59" s="32"/>
      <c r="M59" s="175" t="s">
        <v>273</v>
      </c>
      <c r="N59" s="59"/>
      <c r="O59" s="407"/>
      <c r="P59" s="413"/>
    </row>
    <row r="60" spans="1:20" ht="15.6" customHeight="1">
      <c r="A60" s="396"/>
      <c r="B60" s="365"/>
      <c r="C60" s="18" t="s">
        <v>270</v>
      </c>
      <c r="D60" s="171" t="s">
        <v>350</v>
      </c>
      <c r="E60" s="157">
        <v>3</v>
      </c>
      <c r="F60" s="303">
        <v>3</v>
      </c>
      <c r="G60" s="122"/>
      <c r="H60" s="264"/>
      <c r="I60" s="420"/>
      <c r="J60" s="265"/>
      <c r="K60" s="19"/>
      <c r="L60" s="266"/>
      <c r="M60" s="267" t="s">
        <v>273</v>
      </c>
      <c r="N60" s="260"/>
      <c r="O60" s="407"/>
      <c r="P60" s="413"/>
    </row>
    <row r="61" spans="1:20" ht="15.6" customHeight="1">
      <c r="A61" s="396"/>
      <c r="B61" s="330" t="s">
        <v>330</v>
      </c>
      <c r="C61" s="17" t="s">
        <v>270</v>
      </c>
      <c r="D61" s="169" t="s">
        <v>324</v>
      </c>
      <c r="E61" s="185">
        <v>3</v>
      </c>
      <c r="F61" s="138">
        <v>3</v>
      </c>
      <c r="G61" s="123"/>
      <c r="H61" s="133"/>
      <c r="I61" s="420"/>
      <c r="J61" s="143"/>
      <c r="K61" s="15"/>
      <c r="L61" s="14"/>
      <c r="M61" s="175" t="s">
        <v>273</v>
      </c>
      <c r="N61" s="59"/>
      <c r="O61" s="407"/>
      <c r="P61" s="413"/>
    </row>
    <row r="62" spans="1:20" ht="15.6" customHeight="1">
      <c r="A62" s="396"/>
      <c r="B62" s="331"/>
      <c r="C62" s="8" t="s">
        <v>267</v>
      </c>
      <c r="D62" s="167" t="s">
        <v>351</v>
      </c>
      <c r="E62" s="179">
        <v>3</v>
      </c>
      <c r="F62" s="141">
        <v>3</v>
      </c>
      <c r="G62" s="121"/>
      <c r="H62" s="134"/>
      <c r="I62" s="420"/>
      <c r="J62" s="315"/>
      <c r="K62" s="11"/>
      <c r="L62" s="10"/>
      <c r="M62" s="174"/>
      <c r="N62" s="137"/>
      <c r="O62" s="407"/>
      <c r="P62" s="413"/>
    </row>
    <row r="63" spans="1:20" ht="15.6" customHeight="1">
      <c r="A63" s="396"/>
      <c r="B63" s="331"/>
      <c r="C63" s="8" t="s">
        <v>270</v>
      </c>
      <c r="D63" s="167" t="s">
        <v>352</v>
      </c>
      <c r="E63" s="179">
        <v>3</v>
      </c>
      <c r="F63" s="141">
        <v>3</v>
      </c>
      <c r="G63" s="121"/>
      <c r="H63" s="134"/>
      <c r="I63" s="420"/>
      <c r="J63" s="315"/>
      <c r="K63" s="11"/>
      <c r="L63" s="10"/>
      <c r="M63" s="174" t="s">
        <v>273</v>
      </c>
      <c r="N63" s="137"/>
      <c r="O63" s="407"/>
      <c r="P63" s="413"/>
    </row>
    <row r="64" spans="1:20" ht="15.6" customHeight="1">
      <c r="A64" s="396"/>
      <c r="B64" s="339"/>
      <c r="C64" s="18" t="s">
        <v>270</v>
      </c>
      <c r="D64" s="171" t="s">
        <v>353</v>
      </c>
      <c r="E64" s="157">
        <v>3</v>
      </c>
      <c r="F64" s="263">
        <v>3</v>
      </c>
      <c r="G64" s="122"/>
      <c r="H64" s="264"/>
      <c r="I64" s="420"/>
      <c r="J64" s="265"/>
      <c r="K64" s="19"/>
      <c r="L64" s="266"/>
      <c r="M64" s="267"/>
      <c r="N64" s="260"/>
      <c r="O64" s="407"/>
      <c r="P64" s="413"/>
    </row>
    <row r="65" spans="1:20" ht="15.6" customHeight="1">
      <c r="A65" s="396"/>
      <c r="B65" s="246" t="s">
        <v>189</v>
      </c>
      <c r="C65" s="228" t="s">
        <v>270</v>
      </c>
      <c r="D65" s="195" t="s">
        <v>157</v>
      </c>
      <c r="E65" s="238">
        <f>IFERROR(VLOOKUP(D65, 기본학점, 2, FALSE), "")</f>
        <v>4</v>
      </c>
      <c r="F65" s="99">
        <v>3</v>
      </c>
      <c r="G65" s="261"/>
      <c r="H65" s="230"/>
      <c r="I65" s="420"/>
      <c r="J65" s="262"/>
      <c r="K65" s="221"/>
      <c r="L65" s="249"/>
      <c r="M65" s="226"/>
      <c r="N65" s="207"/>
      <c r="O65" s="407"/>
      <c r="P65" s="413"/>
    </row>
    <row r="66" spans="1:20" ht="15.6" customHeight="1">
      <c r="A66" s="396"/>
      <c r="B66" s="194" t="s">
        <v>103</v>
      </c>
      <c r="C66" s="17" t="s">
        <v>267</v>
      </c>
      <c r="D66" s="169" t="s">
        <v>302</v>
      </c>
      <c r="E66" s="185">
        <f t="shared" si="1"/>
        <v>4</v>
      </c>
      <c r="F66" s="138">
        <v>3</v>
      </c>
      <c r="G66" s="104"/>
      <c r="H66" s="128"/>
      <c r="I66" s="420"/>
      <c r="J66" s="143"/>
      <c r="K66" s="15"/>
      <c r="L66" s="14"/>
      <c r="M66" s="175"/>
      <c r="N66" s="59"/>
      <c r="O66" s="407"/>
      <c r="P66" s="413"/>
    </row>
    <row r="67" spans="1:20" ht="15.6" customHeight="1">
      <c r="A67" s="396"/>
      <c r="B67" s="330" t="s">
        <v>190</v>
      </c>
      <c r="C67" s="208" t="s">
        <v>267</v>
      </c>
      <c r="D67" s="209" t="s">
        <v>90</v>
      </c>
      <c r="E67" s="210">
        <f t="shared" si="1"/>
        <v>3</v>
      </c>
      <c r="F67" s="211">
        <v>3</v>
      </c>
      <c r="G67" s="212"/>
      <c r="H67" s="213"/>
      <c r="I67" s="421"/>
      <c r="J67" s="214"/>
      <c r="K67" s="215"/>
      <c r="L67" s="216"/>
      <c r="M67" s="217"/>
      <c r="N67" s="208"/>
      <c r="O67" s="407"/>
      <c r="P67" s="413"/>
    </row>
    <row r="68" spans="1:20" ht="15.6" customHeight="1">
      <c r="A68" s="396"/>
      <c r="B68" s="331"/>
      <c r="C68" s="207" t="s">
        <v>270</v>
      </c>
      <c r="D68" s="195" t="s">
        <v>303</v>
      </c>
      <c r="E68" s="98">
        <v>2</v>
      </c>
      <c r="F68" s="202">
        <v>1</v>
      </c>
      <c r="G68" s="202"/>
      <c r="H68" s="127"/>
      <c r="I68" s="357" t="s">
        <v>321</v>
      </c>
      <c r="J68" s="66"/>
      <c r="K68" s="65"/>
      <c r="L68" s="55"/>
      <c r="M68" s="164" t="s">
        <v>292</v>
      </c>
      <c r="N68" s="207"/>
      <c r="O68" s="407"/>
      <c r="P68" s="413"/>
    </row>
    <row r="69" spans="1:20" ht="15.6" customHeight="1" thickBot="1">
      <c r="A69" s="396"/>
      <c r="B69" s="331"/>
      <c r="C69" s="137" t="s">
        <v>267</v>
      </c>
      <c r="D69" s="167" t="s">
        <v>335</v>
      </c>
      <c r="E69" s="179">
        <v>2</v>
      </c>
      <c r="F69" s="141">
        <v>1</v>
      </c>
      <c r="G69" s="102"/>
      <c r="H69" s="124"/>
      <c r="I69" s="358"/>
      <c r="J69" s="56"/>
      <c r="K69" s="57"/>
      <c r="L69" s="58"/>
      <c r="M69" s="166" t="s">
        <v>292</v>
      </c>
      <c r="N69" s="137"/>
      <c r="O69" s="407"/>
      <c r="P69" s="413"/>
    </row>
    <row r="70" spans="1:20" ht="15.6" customHeight="1">
      <c r="A70" s="397"/>
      <c r="B70" s="193" t="s">
        <v>6</v>
      </c>
      <c r="C70" s="30" t="s">
        <v>270</v>
      </c>
      <c r="D70" s="165" t="s">
        <v>304</v>
      </c>
      <c r="E70" s="186">
        <f t="shared" si="1"/>
        <v>4</v>
      </c>
      <c r="F70" s="142">
        <v>3</v>
      </c>
      <c r="G70" s="187"/>
      <c r="H70" s="132"/>
      <c r="I70" s="7"/>
      <c r="J70" s="359" t="s">
        <v>322</v>
      </c>
      <c r="K70" s="7"/>
      <c r="L70" s="31"/>
      <c r="M70" s="176"/>
      <c r="N70" s="149"/>
      <c r="O70" s="408"/>
      <c r="P70" s="414"/>
      <c r="R70" s="6"/>
      <c r="S70" s="6"/>
      <c r="T70" s="6"/>
    </row>
    <row r="71" spans="1:20" ht="15.6" customHeight="1">
      <c r="A71" s="397"/>
      <c r="B71" s="330" t="s">
        <v>7</v>
      </c>
      <c r="C71" s="17" t="s">
        <v>270</v>
      </c>
      <c r="D71" s="169" t="s">
        <v>305</v>
      </c>
      <c r="E71" s="185">
        <f t="shared" ref="E71:E95" si="2">IFERROR(VLOOKUP(D71, 기본학점, 2, FALSE), "")</f>
        <v>4</v>
      </c>
      <c r="F71" s="140">
        <v>3</v>
      </c>
      <c r="G71" s="104"/>
      <c r="H71" s="128"/>
      <c r="I71" s="15"/>
      <c r="J71" s="360"/>
      <c r="K71" s="15"/>
      <c r="L71" s="16"/>
      <c r="M71" s="175"/>
      <c r="N71" s="59"/>
      <c r="O71" s="408"/>
      <c r="P71" s="414"/>
    </row>
    <row r="72" spans="1:20" ht="15.6" customHeight="1">
      <c r="A72" s="397"/>
      <c r="B72" s="339"/>
      <c r="C72" s="18" t="s">
        <v>267</v>
      </c>
      <c r="D72" s="171" t="s">
        <v>37</v>
      </c>
      <c r="E72" s="157">
        <f>IFERROR(VLOOKUP(D72, 기본학점, 2, FALSE), "")</f>
        <v>4</v>
      </c>
      <c r="F72" s="139">
        <v>3</v>
      </c>
      <c r="G72" s="105"/>
      <c r="H72" s="130"/>
      <c r="I72" s="19"/>
      <c r="J72" s="360"/>
      <c r="K72" s="19"/>
      <c r="L72" s="20"/>
      <c r="M72" s="267"/>
      <c r="N72" s="260"/>
      <c r="O72" s="408"/>
      <c r="P72" s="414"/>
    </row>
    <row r="73" spans="1:20" ht="15.6" customHeight="1">
      <c r="A73" s="397"/>
      <c r="B73" s="246" t="s">
        <v>341</v>
      </c>
      <c r="C73" s="228" t="s">
        <v>267</v>
      </c>
      <c r="D73" s="195" t="s">
        <v>64</v>
      </c>
      <c r="E73" s="238">
        <f>IFERROR(VLOOKUP(D73, 기본학점, 2, FALSE), "")</f>
        <v>4</v>
      </c>
      <c r="F73" s="99">
        <v>3</v>
      </c>
      <c r="G73" s="219"/>
      <c r="H73" s="220"/>
      <c r="I73" s="221"/>
      <c r="J73" s="360"/>
      <c r="K73" s="221"/>
      <c r="L73" s="225"/>
      <c r="M73" s="226"/>
      <c r="N73" s="207"/>
      <c r="O73" s="408"/>
      <c r="P73" s="414"/>
    </row>
    <row r="74" spans="1:20" ht="15.6" customHeight="1">
      <c r="A74" s="397"/>
      <c r="B74" s="330" t="s">
        <v>186</v>
      </c>
      <c r="C74" s="17" t="s">
        <v>266</v>
      </c>
      <c r="D74" s="169" t="s">
        <v>124</v>
      </c>
      <c r="E74" s="185">
        <f t="shared" si="2"/>
        <v>4</v>
      </c>
      <c r="F74" s="140">
        <v>3</v>
      </c>
      <c r="G74" s="104"/>
      <c r="H74" s="133"/>
      <c r="I74" s="33"/>
      <c r="J74" s="360"/>
      <c r="K74" s="33"/>
      <c r="L74" s="34"/>
      <c r="M74" s="175"/>
      <c r="N74" s="59"/>
      <c r="O74" s="408"/>
      <c r="P74" s="414"/>
    </row>
    <row r="75" spans="1:20" ht="15.6" customHeight="1">
      <c r="A75" s="397"/>
      <c r="B75" s="331"/>
      <c r="C75" s="8" t="s">
        <v>270</v>
      </c>
      <c r="D75" s="299" t="s">
        <v>346</v>
      </c>
      <c r="E75" s="179">
        <v>4</v>
      </c>
      <c r="F75" s="141">
        <v>3</v>
      </c>
      <c r="G75" s="42"/>
      <c r="H75" s="134"/>
      <c r="I75" s="36"/>
      <c r="J75" s="360"/>
      <c r="K75" s="36"/>
      <c r="L75" s="37"/>
      <c r="M75" s="174" t="s">
        <v>273</v>
      </c>
      <c r="N75" s="137"/>
      <c r="O75" s="408"/>
      <c r="P75" s="414"/>
    </row>
    <row r="76" spans="1:20" ht="15.6" customHeight="1">
      <c r="A76" s="397"/>
      <c r="B76" s="331"/>
      <c r="C76" s="8" t="s">
        <v>270</v>
      </c>
      <c r="D76" s="299" t="s">
        <v>347</v>
      </c>
      <c r="E76" s="158">
        <v>4</v>
      </c>
      <c r="F76" s="99">
        <v>3</v>
      </c>
      <c r="G76" s="42"/>
      <c r="H76" s="134"/>
      <c r="I76" s="36"/>
      <c r="J76" s="360"/>
      <c r="K76" s="36"/>
      <c r="L76" s="37"/>
      <c r="M76" s="174" t="s">
        <v>273</v>
      </c>
      <c r="N76" s="137"/>
      <c r="O76" s="408"/>
      <c r="P76" s="414"/>
    </row>
    <row r="77" spans="1:20" ht="15.6" customHeight="1">
      <c r="A77" s="397"/>
      <c r="B77" s="331"/>
      <c r="C77" s="8" t="s">
        <v>270</v>
      </c>
      <c r="D77" s="299" t="s">
        <v>307</v>
      </c>
      <c r="E77" s="98">
        <f t="shared" si="2"/>
        <v>4</v>
      </c>
      <c r="F77" s="141">
        <v>3</v>
      </c>
      <c r="G77" s="42"/>
      <c r="H77" s="134"/>
      <c r="I77" s="36"/>
      <c r="J77" s="360"/>
      <c r="K77" s="36"/>
      <c r="L77" s="37"/>
      <c r="M77" s="174"/>
      <c r="N77" s="137"/>
      <c r="O77" s="408"/>
      <c r="P77" s="414"/>
    </row>
    <row r="78" spans="1:20" ht="15.6" customHeight="1">
      <c r="A78" s="397"/>
      <c r="B78" s="331"/>
      <c r="C78" s="8" t="s">
        <v>266</v>
      </c>
      <c r="D78" s="299" t="s">
        <v>65</v>
      </c>
      <c r="E78" s="158">
        <f t="shared" si="2"/>
        <v>4</v>
      </c>
      <c r="F78" s="158">
        <v>3</v>
      </c>
      <c r="G78" s="42"/>
      <c r="H78" s="134"/>
      <c r="I78" s="239"/>
      <c r="J78" s="360"/>
      <c r="K78" s="239"/>
      <c r="L78" s="240"/>
      <c r="M78" s="241"/>
      <c r="N78" s="137"/>
      <c r="O78" s="408"/>
      <c r="P78" s="414"/>
    </row>
    <row r="79" spans="1:20" ht="15.6" customHeight="1">
      <c r="A79" s="397"/>
      <c r="B79" s="339"/>
      <c r="C79" s="23" t="s">
        <v>270</v>
      </c>
      <c r="D79" s="300" t="s">
        <v>143</v>
      </c>
      <c r="E79" s="238">
        <f>IFERROR(VLOOKUP(D79, 기본학점, 2, FALSE), "")</f>
        <v>4</v>
      </c>
      <c r="F79" s="99">
        <v>3</v>
      </c>
      <c r="G79" s="113"/>
      <c r="H79" s="234"/>
      <c r="I79" s="235"/>
      <c r="J79" s="360"/>
      <c r="K79" s="242"/>
      <c r="L79" s="236"/>
      <c r="M79" s="237"/>
      <c r="N79" s="259"/>
      <c r="O79" s="408"/>
      <c r="P79" s="414"/>
    </row>
    <row r="80" spans="1:20" ht="15.6" customHeight="1">
      <c r="A80" s="397"/>
      <c r="B80" s="330" t="s">
        <v>8</v>
      </c>
      <c r="C80" s="17" t="s">
        <v>270</v>
      </c>
      <c r="D80" s="298" t="s">
        <v>67</v>
      </c>
      <c r="E80" s="185">
        <f t="shared" si="2"/>
        <v>4</v>
      </c>
      <c r="F80" s="140">
        <v>3</v>
      </c>
      <c r="G80" s="104"/>
      <c r="H80" s="133"/>
      <c r="I80" s="15"/>
      <c r="J80" s="360"/>
      <c r="K80" s="13"/>
      <c r="L80" s="32"/>
      <c r="M80" s="175"/>
      <c r="N80" s="59"/>
      <c r="O80" s="408"/>
      <c r="P80" s="414"/>
    </row>
    <row r="81" spans="1:16" ht="15.6" customHeight="1">
      <c r="A81" s="397"/>
      <c r="B81" s="331"/>
      <c r="C81" s="8" t="s">
        <v>270</v>
      </c>
      <c r="D81" s="299" t="s">
        <v>148</v>
      </c>
      <c r="E81" s="179">
        <f t="shared" si="2"/>
        <v>4</v>
      </c>
      <c r="F81" s="141">
        <v>3</v>
      </c>
      <c r="G81" s="42"/>
      <c r="H81" s="134"/>
      <c r="I81" s="11"/>
      <c r="J81" s="360"/>
      <c r="K81" s="9"/>
      <c r="L81" s="35"/>
      <c r="M81" s="174"/>
      <c r="N81" s="137"/>
      <c r="O81" s="408"/>
      <c r="P81" s="414"/>
    </row>
    <row r="82" spans="1:16" ht="15.6" customHeight="1">
      <c r="A82" s="397"/>
      <c r="B82" s="331"/>
      <c r="C82" s="8" t="s">
        <v>270</v>
      </c>
      <c r="D82" s="299" t="s">
        <v>149</v>
      </c>
      <c r="E82" s="179">
        <f>IFERROR(VLOOKUP(D82, 기본학점, 2, FALSE), "")</f>
        <v>4</v>
      </c>
      <c r="F82" s="141">
        <v>3</v>
      </c>
      <c r="G82" s="42"/>
      <c r="H82" s="134"/>
      <c r="I82" s="11"/>
      <c r="J82" s="360"/>
      <c r="K82" s="9"/>
      <c r="L82" s="35"/>
      <c r="M82" s="174"/>
      <c r="N82" s="137"/>
      <c r="O82" s="408"/>
      <c r="P82" s="414"/>
    </row>
    <row r="83" spans="1:16" ht="15.6" customHeight="1">
      <c r="A83" s="397"/>
      <c r="B83" s="331"/>
      <c r="C83" s="21" t="s">
        <v>270</v>
      </c>
      <c r="D83" s="301" t="s">
        <v>151</v>
      </c>
      <c r="E83" s="197">
        <f>IFERROR(VLOOKUP(D83, 기본학점, 2, FALSE), "")</f>
        <v>4</v>
      </c>
      <c r="F83" s="307">
        <v>3</v>
      </c>
      <c r="G83" s="120"/>
      <c r="H83" s="308"/>
      <c r="I83" s="22"/>
      <c r="J83" s="360"/>
      <c r="K83" s="309"/>
      <c r="L83" s="310"/>
      <c r="M83" s="198"/>
      <c r="N83" s="87"/>
      <c r="O83" s="408"/>
      <c r="P83" s="414"/>
    </row>
    <row r="84" spans="1:16" ht="15.6" customHeight="1">
      <c r="A84" s="397"/>
      <c r="B84" s="364" t="s">
        <v>9</v>
      </c>
      <c r="C84" s="17" t="s">
        <v>270</v>
      </c>
      <c r="D84" s="298" t="s">
        <v>308</v>
      </c>
      <c r="E84" s="185">
        <v>3</v>
      </c>
      <c r="F84" s="140">
        <v>3</v>
      </c>
      <c r="G84" s="104"/>
      <c r="H84" s="133"/>
      <c r="I84" s="15"/>
      <c r="J84" s="360"/>
      <c r="K84" s="13"/>
      <c r="L84" s="32"/>
      <c r="M84" s="175" t="s">
        <v>273</v>
      </c>
      <c r="N84" s="59"/>
      <c r="O84" s="408"/>
      <c r="P84" s="414"/>
    </row>
    <row r="85" spans="1:16" ht="15.6" customHeight="1">
      <c r="A85" s="397"/>
      <c r="B85" s="365"/>
      <c r="C85" s="18" t="s">
        <v>270</v>
      </c>
      <c r="D85" s="171" t="s">
        <v>358</v>
      </c>
      <c r="E85" s="157">
        <v>3</v>
      </c>
      <c r="F85" s="139">
        <v>3</v>
      </c>
      <c r="G85" s="122"/>
      <c r="H85" s="264"/>
      <c r="I85" s="19"/>
      <c r="J85" s="360"/>
      <c r="K85" s="19"/>
      <c r="L85" s="266"/>
      <c r="M85" s="267" t="s">
        <v>273</v>
      </c>
      <c r="N85" s="260"/>
      <c r="O85" s="408"/>
      <c r="P85" s="414"/>
    </row>
    <row r="86" spans="1:16" ht="15.6" customHeight="1">
      <c r="A86" s="397"/>
      <c r="B86" s="331" t="s">
        <v>330</v>
      </c>
      <c r="C86" s="17" t="s">
        <v>270</v>
      </c>
      <c r="D86" s="169" t="s">
        <v>301</v>
      </c>
      <c r="E86" s="185">
        <v>3</v>
      </c>
      <c r="F86" s="140">
        <v>3</v>
      </c>
      <c r="G86" s="104"/>
      <c r="H86" s="133"/>
      <c r="I86" s="15"/>
      <c r="J86" s="360"/>
      <c r="K86" s="15"/>
      <c r="L86" s="14"/>
      <c r="M86" s="175" t="s">
        <v>273</v>
      </c>
      <c r="N86" s="59"/>
      <c r="O86" s="408"/>
      <c r="P86" s="414"/>
    </row>
    <row r="87" spans="1:16" ht="15.6" customHeight="1">
      <c r="A87" s="397"/>
      <c r="B87" s="331"/>
      <c r="C87" s="8" t="s">
        <v>270</v>
      </c>
      <c r="D87" s="316" t="s">
        <v>355</v>
      </c>
      <c r="E87" s="179">
        <v>3</v>
      </c>
      <c r="F87" s="141">
        <v>3</v>
      </c>
      <c r="G87" s="42"/>
      <c r="H87" s="134"/>
      <c r="I87" s="11"/>
      <c r="J87" s="360"/>
      <c r="K87" s="11"/>
      <c r="L87" s="10"/>
      <c r="M87" s="174" t="s">
        <v>273</v>
      </c>
      <c r="N87" s="137"/>
      <c r="O87" s="408"/>
      <c r="P87" s="414"/>
    </row>
    <row r="88" spans="1:16" ht="15.6" customHeight="1">
      <c r="A88" s="397"/>
      <c r="B88" s="331"/>
      <c r="C88" s="8" t="s">
        <v>270</v>
      </c>
      <c r="D88" s="316" t="s">
        <v>356</v>
      </c>
      <c r="E88" s="179">
        <v>3</v>
      </c>
      <c r="F88" s="141">
        <v>3</v>
      </c>
      <c r="G88" s="42"/>
      <c r="H88" s="134"/>
      <c r="I88" s="11"/>
      <c r="J88" s="360"/>
      <c r="K88" s="11"/>
      <c r="L88" s="10"/>
      <c r="M88" s="174" t="s">
        <v>273</v>
      </c>
      <c r="N88" s="137"/>
      <c r="O88" s="408"/>
      <c r="P88" s="414"/>
    </row>
    <row r="89" spans="1:16" ht="15.6" customHeight="1">
      <c r="A89" s="397"/>
      <c r="B89" s="339"/>
      <c r="C89" s="18" t="s">
        <v>270</v>
      </c>
      <c r="D89" s="199" t="s">
        <v>357</v>
      </c>
      <c r="E89" s="157">
        <v>3</v>
      </c>
      <c r="F89" s="139">
        <v>3</v>
      </c>
      <c r="G89" s="317"/>
      <c r="H89" s="264"/>
      <c r="I89" s="19"/>
      <c r="J89" s="360"/>
      <c r="K89" s="19"/>
      <c r="L89" s="266"/>
      <c r="M89" s="267" t="s">
        <v>273</v>
      </c>
      <c r="N89" s="260"/>
      <c r="O89" s="408"/>
      <c r="P89" s="414"/>
    </row>
    <row r="90" spans="1:16" ht="15.6" customHeight="1">
      <c r="A90" s="397"/>
      <c r="B90" s="194" t="s">
        <v>104</v>
      </c>
      <c r="C90" s="17" t="s">
        <v>270</v>
      </c>
      <c r="D90" s="169" t="s">
        <v>156</v>
      </c>
      <c r="E90" s="185">
        <f t="shared" si="2"/>
        <v>4</v>
      </c>
      <c r="F90" s="140">
        <v>3</v>
      </c>
      <c r="G90" s="104"/>
      <c r="H90" s="128"/>
      <c r="I90" s="15"/>
      <c r="J90" s="360"/>
      <c r="K90" s="15"/>
      <c r="L90" s="14"/>
      <c r="M90" s="175"/>
      <c r="N90" s="59"/>
      <c r="O90" s="408"/>
      <c r="P90" s="414"/>
    </row>
    <row r="91" spans="1:16" ht="15.6" customHeight="1">
      <c r="A91" s="397"/>
      <c r="B91" s="194" t="s">
        <v>103</v>
      </c>
      <c r="C91" s="17" t="s">
        <v>267</v>
      </c>
      <c r="D91" s="169" t="s">
        <v>302</v>
      </c>
      <c r="E91" s="185">
        <f t="shared" si="2"/>
        <v>4</v>
      </c>
      <c r="F91" s="138">
        <v>3</v>
      </c>
      <c r="G91" s="104"/>
      <c r="H91" s="128"/>
      <c r="I91" s="15"/>
      <c r="J91" s="360"/>
      <c r="K91" s="15"/>
      <c r="L91" s="14"/>
      <c r="M91" s="175"/>
      <c r="N91" s="59"/>
      <c r="O91" s="408"/>
      <c r="P91" s="414"/>
    </row>
    <row r="92" spans="1:16" ht="15.6" customHeight="1">
      <c r="A92" s="397"/>
      <c r="B92" s="330" t="s">
        <v>190</v>
      </c>
      <c r="C92" s="229" t="s">
        <v>266</v>
      </c>
      <c r="D92" s="169" t="s">
        <v>52</v>
      </c>
      <c r="E92" s="222">
        <f t="shared" si="2"/>
        <v>3</v>
      </c>
      <c r="F92" s="222">
        <v>3</v>
      </c>
      <c r="G92" s="223"/>
      <c r="H92" s="224"/>
      <c r="I92" s="50"/>
      <c r="J92" s="361"/>
      <c r="K92" s="50"/>
      <c r="L92" s="51"/>
      <c r="M92" s="227"/>
      <c r="N92" s="208"/>
      <c r="O92" s="408"/>
      <c r="P92" s="414"/>
    </row>
    <row r="93" spans="1:16" ht="15.6" customHeight="1">
      <c r="A93" s="397"/>
      <c r="B93" s="331"/>
      <c r="C93" s="228" t="s">
        <v>270</v>
      </c>
      <c r="D93" s="169" t="s">
        <v>309</v>
      </c>
      <c r="E93" s="98">
        <v>2</v>
      </c>
      <c r="F93" s="218">
        <v>1</v>
      </c>
      <c r="G93" s="219"/>
      <c r="H93" s="220"/>
      <c r="I93" s="221"/>
      <c r="J93" s="362" t="s">
        <v>321</v>
      </c>
      <c r="K93" s="221"/>
      <c r="L93" s="225"/>
      <c r="M93" s="226" t="s">
        <v>292</v>
      </c>
      <c r="N93" s="207"/>
      <c r="O93" s="408"/>
      <c r="P93" s="414"/>
    </row>
    <row r="94" spans="1:16" ht="15.6" customHeight="1" thickBot="1">
      <c r="A94" s="397"/>
      <c r="B94" s="331"/>
      <c r="C94" s="21" t="s">
        <v>267</v>
      </c>
      <c r="D94" s="172" t="s">
        <v>336</v>
      </c>
      <c r="E94" s="197">
        <v>2</v>
      </c>
      <c r="F94" s="160">
        <v>1</v>
      </c>
      <c r="G94" s="120"/>
      <c r="H94" s="131"/>
      <c r="I94" s="22"/>
      <c r="J94" s="363"/>
      <c r="K94" s="22"/>
      <c r="L94" s="200"/>
      <c r="M94" s="198" t="s">
        <v>292</v>
      </c>
      <c r="N94" s="87"/>
      <c r="O94" s="409"/>
      <c r="P94" s="415"/>
    </row>
    <row r="95" spans="1:16" ht="15.6" customHeight="1">
      <c r="A95" s="399" t="s">
        <v>329</v>
      </c>
      <c r="B95" s="337" t="s">
        <v>7</v>
      </c>
      <c r="C95" s="30" t="s">
        <v>270</v>
      </c>
      <c r="D95" s="165" t="s">
        <v>106</v>
      </c>
      <c r="E95" s="186">
        <f t="shared" si="2"/>
        <v>4</v>
      </c>
      <c r="F95" s="142">
        <v>3</v>
      </c>
      <c r="G95" s="106"/>
      <c r="H95" s="132"/>
      <c r="I95" s="7"/>
      <c r="J95" s="31"/>
      <c r="K95" s="416" t="s">
        <v>325</v>
      </c>
      <c r="L95" s="192"/>
      <c r="M95" s="176"/>
      <c r="N95" s="149"/>
      <c r="O95" s="407">
        <v>38</v>
      </c>
      <c r="P95" s="413"/>
    </row>
    <row r="96" spans="1:16" ht="15.6" customHeight="1">
      <c r="A96" s="396"/>
      <c r="B96" s="331"/>
      <c r="C96" s="228" t="s">
        <v>270</v>
      </c>
      <c r="D96" s="195" t="s">
        <v>310</v>
      </c>
      <c r="E96" s="158">
        <f>IFERROR(VLOOKUP(D96, 기본학점, 2, FALSE), "")</f>
        <v>4</v>
      </c>
      <c r="F96" s="99">
        <v>3</v>
      </c>
      <c r="G96" s="219"/>
      <c r="H96" s="220"/>
      <c r="I96" s="221"/>
      <c r="J96" s="225"/>
      <c r="K96" s="417"/>
      <c r="L96" s="249"/>
      <c r="M96" s="226"/>
      <c r="N96" s="207"/>
      <c r="O96" s="407"/>
      <c r="P96" s="413"/>
    </row>
    <row r="97" spans="1:16" ht="15.6" customHeight="1">
      <c r="A97" s="396"/>
      <c r="B97" s="331"/>
      <c r="C97" s="8" t="s">
        <v>267</v>
      </c>
      <c r="D97" s="167" t="s">
        <v>62</v>
      </c>
      <c r="E97" s="98">
        <f>IFERROR(VLOOKUP(D97, 기본학점, 2, FALSE), "")</f>
        <v>4</v>
      </c>
      <c r="F97" s="141">
        <v>3</v>
      </c>
      <c r="G97" s="42"/>
      <c r="H97" s="129"/>
      <c r="I97" s="11"/>
      <c r="J97" s="12"/>
      <c r="K97" s="417"/>
      <c r="L97" s="10"/>
      <c r="M97" s="174"/>
      <c r="N97" s="137"/>
      <c r="O97" s="407"/>
      <c r="P97" s="413"/>
    </row>
    <row r="98" spans="1:16" ht="15.6" customHeight="1">
      <c r="A98" s="396"/>
      <c r="B98" s="330" t="s">
        <v>186</v>
      </c>
      <c r="C98" s="17" t="s">
        <v>267</v>
      </c>
      <c r="D98" s="298" t="s">
        <v>164</v>
      </c>
      <c r="E98" s="185">
        <f t="shared" ref="E98:E113" si="3">IFERROR(VLOOKUP(D98, 기본학점, 2, FALSE), "")</f>
        <v>4</v>
      </c>
      <c r="F98" s="140">
        <v>3</v>
      </c>
      <c r="G98" s="104"/>
      <c r="H98" s="133"/>
      <c r="I98" s="33"/>
      <c r="J98" s="34"/>
      <c r="K98" s="417"/>
      <c r="L98" s="128"/>
      <c r="M98" s="175"/>
      <c r="N98" s="59"/>
      <c r="O98" s="407"/>
      <c r="P98" s="413"/>
    </row>
    <row r="99" spans="1:16" ht="15.6" customHeight="1">
      <c r="A99" s="396"/>
      <c r="B99" s="331"/>
      <c r="C99" s="8" t="s">
        <v>267</v>
      </c>
      <c r="D99" s="299" t="s">
        <v>163</v>
      </c>
      <c r="E99" s="179">
        <f>IFERROR(VLOOKUP(D99, 기본학점, 2, FALSE), "")</f>
        <v>4</v>
      </c>
      <c r="F99" s="141">
        <v>3</v>
      </c>
      <c r="G99" s="42"/>
      <c r="H99" s="134"/>
      <c r="I99" s="36"/>
      <c r="J99" s="37"/>
      <c r="K99" s="417"/>
      <c r="L99" s="129"/>
      <c r="M99" s="174"/>
      <c r="N99" s="137"/>
      <c r="O99" s="407"/>
      <c r="P99" s="413"/>
    </row>
    <row r="100" spans="1:16" ht="15.6" customHeight="1">
      <c r="A100" s="396"/>
      <c r="B100" s="331"/>
      <c r="C100" s="8" t="s">
        <v>266</v>
      </c>
      <c r="D100" s="299" t="s">
        <v>123</v>
      </c>
      <c r="E100" s="179">
        <f>IFERROR(VLOOKUP(D100, 기본학점, 2, FALSE), "")</f>
        <v>4</v>
      </c>
      <c r="F100" s="141">
        <v>3</v>
      </c>
      <c r="G100" s="42"/>
      <c r="H100" s="134"/>
      <c r="I100" s="36"/>
      <c r="J100" s="37"/>
      <c r="K100" s="417"/>
      <c r="L100" s="129"/>
      <c r="M100" s="174"/>
      <c r="N100" s="137"/>
      <c r="O100" s="407"/>
      <c r="P100" s="413"/>
    </row>
    <row r="101" spans="1:16" ht="15.6" customHeight="1">
      <c r="A101" s="396"/>
      <c r="B101" s="331"/>
      <c r="C101" s="8" t="s">
        <v>270</v>
      </c>
      <c r="D101" s="299" t="s">
        <v>45</v>
      </c>
      <c r="E101" s="158">
        <f t="shared" si="3"/>
        <v>4</v>
      </c>
      <c r="F101" s="158">
        <v>3</v>
      </c>
      <c r="G101" s="42"/>
      <c r="H101" s="134"/>
      <c r="I101" s="36"/>
      <c r="J101" s="37"/>
      <c r="K101" s="417"/>
      <c r="L101" s="129"/>
      <c r="M101" s="166"/>
      <c r="N101" s="137"/>
      <c r="O101" s="407"/>
      <c r="P101" s="413"/>
    </row>
    <row r="102" spans="1:16" ht="15.6" customHeight="1">
      <c r="A102" s="396"/>
      <c r="B102" s="339"/>
      <c r="C102" s="23" t="s">
        <v>267</v>
      </c>
      <c r="D102" s="300" t="s">
        <v>162</v>
      </c>
      <c r="E102" s="238">
        <f>IFERROR(VLOOKUP(D102, 기본학점, 2, FALSE), "")</f>
        <v>4</v>
      </c>
      <c r="F102" s="99">
        <v>3</v>
      </c>
      <c r="G102" s="113"/>
      <c r="H102" s="234"/>
      <c r="I102" s="243"/>
      <c r="J102" s="244"/>
      <c r="K102" s="417"/>
      <c r="L102" s="244"/>
      <c r="M102" s="245"/>
      <c r="N102" s="259"/>
      <c r="O102" s="407"/>
      <c r="P102" s="413"/>
    </row>
    <row r="103" spans="1:16" ht="15.6" customHeight="1">
      <c r="A103" s="396"/>
      <c r="B103" s="330" t="s">
        <v>8</v>
      </c>
      <c r="C103" s="17" t="s">
        <v>270</v>
      </c>
      <c r="D103" s="298" t="s">
        <v>68</v>
      </c>
      <c r="E103" s="185">
        <f t="shared" si="3"/>
        <v>4</v>
      </c>
      <c r="F103" s="140">
        <v>3</v>
      </c>
      <c r="G103" s="104"/>
      <c r="H103" s="133"/>
      <c r="I103" s="26"/>
      <c r="J103" s="27"/>
      <c r="K103" s="417"/>
      <c r="L103" s="32"/>
      <c r="M103" s="175"/>
      <c r="N103" s="59"/>
      <c r="O103" s="407"/>
      <c r="P103" s="413"/>
    </row>
    <row r="104" spans="1:16" ht="15.6" customHeight="1">
      <c r="A104" s="396"/>
      <c r="B104" s="331"/>
      <c r="C104" s="8" t="s">
        <v>270</v>
      </c>
      <c r="D104" s="299" t="s">
        <v>69</v>
      </c>
      <c r="E104" s="179">
        <f t="shared" si="3"/>
        <v>4</v>
      </c>
      <c r="F104" s="141">
        <v>3</v>
      </c>
      <c r="G104" s="42"/>
      <c r="H104" s="134"/>
      <c r="I104" s="28"/>
      <c r="J104" s="29"/>
      <c r="K104" s="417"/>
      <c r="L104" s="35"/>
      <c r="M104" s="174"/>
      <c r="N104" s="137"/>
      <c r="O104" s="407"/>
      <c r="P104" s="413"/>
    </row>
    <row r="105" spans="1:16" ht="15.6" customHeight="1">
      <c r="A105" s="396"/>
      <c r="B105" s="331"/>
      <c r="C105" s="8" t="s">
        <v>270</v>
      </c>
      <c r="D105" s="299" t="s">
        <v>150</v>
      </c>
      <c r="E105" s="179">
        <f t="shared" si="3"/>
        <v>4</v>
      </c>
      <c r="F105" s="141">
        <v>3</v>
      </c>
      <c r="G105" s="121"/>
      <c r="H105" s="129"/>
      <c r="I105" s="11"/>
      <c r="J105" s="12"/>
      <c r="K105" s="417"/>
      <c r="L105" s="10"/>
      <c r="M105" s="174"/>
      <c r="N105" s="137"/>
      <c r="O105" s="407"/>
      <c r="P105" s="413"/>
    </row>
    <row r="106" spans="1:16" ht="15.6" customHeight="1">
      <c r="A106" s="396"/>
      <c r="B106" s="339"/>
      <c r="C106" s="18" t="s">
        <v>270</v>
      </c>
      <c r="D106" s="302" t="s">
        <v>152</v>
      </c>
      <c r="E106" s="157">
        <f>IFERROR(VLOOKUP(D106, 기본학점, 2, FALSE), "")</f>
        <v>4</v>
      </c>
      <c r="F106" s="303">
        <v>3</v>
      </c>
      <c r="G106" s="122"/>
      <c r="H106" s="130"/>
      <c r="I106" s="19"/>
      <c r="J106" s="20"/>
      <c r="K106" s="417"/>
      <c r="L106" s="266"/>
      <c r="M106" s="267"/>
      <c r="N106" s="260"/>
      <c r="O106" s="407"/>
      <c r="P106" s="413"/>
    </row>
    <row r="107" spans="1:16" ht="15.6" customHeight="1">
      <c r="A107" s="396"/>
      <c r="B107" s="330" t="s">
        <v>9</v>
      </c>
      <c r="C107" s="17" t="s">
        <v>270</v>
      </c>
      <c r="D107" s="298" t="s">
        <v>312</v>
      </c>
      <c r="E107" s="185">
        <v>3</v>
      </c>
      <c r="F107" s="140">
        <v>3</v>
      </c>
      <c r="G107" s="123"/>
      <c r="H107" s="128"/>
      <c r="I107" s="15"/>
      <c r="J107" s="16"/>
      <c r="K107" s="417"/>
      <c r="L107" s="14"/>
      <c r="M107" s="175" t="s">
        <v>273</v>
      </c>
      <c r="N107" s="59"/>
      <c r="O107" s="407"/>
      <c r="P107" s="413"/>
    </row>
    <row r="108" spans="1:16" ht="15.6" customHeight="1">
      <c r="A108" s="396"/>
      <c r="B108" s="339"/>
      <c r="C108" s="228" t="s">
        <v>270</v>
      </c>
      <c r="D108" s="195" t="s">
        <v>354</v>
      </c>
      <c r="E108" s="98">
        <v>3</v>
      </c>
      <c r="F108" s="218">
        <v>3</v>
      </c>
      <c r="G108" s="261"/>
      <c r="H108" s="220"/>
      <c r="I108" s="221"/>
      <c r="J108" s="225"/>
      <c r="K108" s="417"/>
      <c r="L108" s="249"/>
      <c r="M108" s="226" t="s">
        <v>273</v>
      </c>
      <c r="N108" s="207"/>
      <c r="O108" s="407"/>
      <c r="P108" s="413"/>
    </row>
    <row r="109" spans="1:16" ht="15.6" customHeight="1">
      <c r="A109" s="396"/>
      <c r="B109" s="330" t="s">
        <v>26</v>
      </c>
      <c r="C109" s="17" t="s">
        <v>270</v>
      </c>
      <c r="D109" s="169" t="s">
        <v>313</v>
      </c>
      <c r="E109" s="138">
        <v>3</v>
      </c>
      <c r="F109" s="138">
        <v>3</v>
      </c>
      <c r="G109" s="123"/>
      <c r="H109" s="133"/>
      <c r="I109" s="26"/>
      <c r="J109" s="27"/>
      <c r="K109" s="417"/>
      <c r="L109" s="32"/>
      <c r="M109" s="175" t="s">
        <v>273</v>
      </c>
      <c r="N109" s="59"/>
      <c r="O109" s="407"/>
      <c r="P109" s="413"/>
    </row>
    <row r="110" spans="1:16" ht="15.6" customHeight="1">
      <c r="A110" s="396"/>
      <c r="B110" s="331"/>
      <c r="C110" s="8" t="s">
        <v>267</v>
      </c>
      <c r="D110" s="167" t="s">
        <v>359</v>
      </c>
      <c r="E110" s="179">
        <v>3</v>
      </c>
      <c r="F110" s="141">
        <v>3</v>
      </c>
      <c r="G110" s="121"/>
      <c r="H110" s="134"/>
      <c r="I110" s="28"/>
      <c r="J110" s="29"/>
      <c r="K110" s="417"/>
      <c r="L110" s="35"/>
      <c r="M110" s="174" t="s">
        <v>273</v>
      </c>
      <c r="N110" s="137"/>
      <c r="O110" s="407"/>
      <c r="P110" s="413"/>
    </row>
    <row r="111" spans="1:16" ht="15.6" customHeight="1">
      <c r="A111" s="396"/>
      <c r="B111" s="331"/>
      <c r="C111" s="8" t="s">
        <v>270</v>
      </c>
      <c r="D111" s="167" t="s">
        <v>314</v>
      </c>
      <c r="E111" s="179">
        <v>3</v>
      </c>
      <c r="F111" s="141">
        <v>3</v>
      </c>
      <c r="G111" s="121"/>
      <c r="H111" s="134"/>
      <c r="I111" s="28"/>
      <c r="J111" s="29"/>
      <c r="K111" s="417"/>
      <c r="L111" s="35"/>
      <c r="M111" s="174" t="s">
        <v>273</v>
      </c>
      <c r="N111" s="137"/>
      <c r="O111" s="407"/>
      <c r="P111" s="413"/>
    </row>
    <row r="112" spans="1:16" ht="15.6" customHeight="1">
      <c r="A112" s="396"/>
      <c r="B112" s="331"/>
      <c r="C112" s="18" t="s">
        <v>270</v>
      </c>
      <c r="D112" s="199" t="s">
        <v>360</v>
      </c>
      <c r="E112" s="157">
        <v>3</v>
      </c>
      <c r="F112" s="139">
        <v>3</v>
      </c>
      <c r="G112" s="122"/>
      <c r="H112" s="264"/>
      <c r="I112" s="304"/>
      <c r="J112" s="305"/>
      <c r="K112" s="417"/>
      <c r="L112" s="306"/>
      <c r="M112" s="267" t="s">
        <v>273</v>
      </c>
      <c r="N112" s="260"/>
      <c r="O112" s="407"/>
      <c r="P112" s="413"/>
    </row>
    <row r="113" spans="1:16" ht="15.6" customHeight="1">
      <c r="A113" s="396"/>
      <c r="B113" s="330" t="s">
        <v>190</v>
      </c>
      <c r="C113" s="229" t="s">
        <v>267</v>
      </c>
      <c r="D113" s="209" t="s">
        <v>315</v>
      </c>
      <c r="E113" s="210">
        <f t="shared" si="3"/>
        <v>3</v>
      </c>
      <c r="F113" s="222">
        <v>3</v>
      </c>
      <c r="G113" s="223"/>
      <c r="H113" s="224"/>
      <c r="I113" s="50"/>
      <c r="J113" s="156"/>
      <c r="K113" s="418"/>
      <c r="L113" s="51"/>
      <c r="M113" s="227"/>
      <c r="N113" s="208"/>
      <c r="O113" s="407"/>
      <c r="P113" s="413"/>
    </row>
    <row r="114" spans="1:16" ht="15.6" customHeight="1">
      <c r="A114" s="396"/>
      <c r="B114" s="331"/>
      <c r="C114" s="17" t="s">
        <v>267</v>
      </c>
      <c r="D114" s="169" t="s">
        <v>337</v>
      </c>
      <c r="E114" s="185">
        <v>2</v>
      </c>
      <c r="F114" s="140">
        <v>1</v>
      </c>
      <c r="G114" s="104"/>
      <c r="H114" s="128"/>
      <c r="I114" s="15"/>
      <c r="J114" s="16"/>
      <c r="K114" s="355" t="s">
        <v>321</v>
      </c>
      <c r="L114" s="14"/>
      <c r="M114" s="175" t="s">
        <v>292</v>
      </c>
      <c r="N114" s="59"/>
      <c r="O114" s="407"/>
      <c r="P114" s="413"/>
    </row>
    <row r="115" spans="1:16" ht="15.6" customHeight="1" thickBot="1">
      <c r="A115" s="396"/>
      <c r="B115" s="332"/>
      <c r="C115" s="283" t="s">
        <v>267</v>
      </c>
      <c r="D115" s="284" t="s">
        <v>338</v>
      </c>
      <c r="E115" s="112">
        <v>2</v>
      </c>
      <c r="F115" s="285">
        <v>1</v>
      </c>
      <c r="G115" s="286"/>
      <c r="H115" s="206"/>
      <c r="I115" s="271"/>
      <c r="J115" s="270"/>
      <c r="K115" s="356"/>
      <c r="L115" s="269"/>
      <c r="M115" s="287" t="s">
        <v>292</v>
      </c>
      <c r="N115" s="288"/>
      <c r="O115" s="407"/>
      <c r="P115" s="413"/>
    </row>
    <row r="116" spans="1:16" ht="15.6" customHeight="1">
      <c r="A116" s="396"/>
      <c r="B116" s="272" t="s">
        <v>260</v>
      </c>
      <c r="C116" s="273" t="s">
        <v>267</v>
      </c>
      <c r="D116" s="274" t="s">
        <v>59</v>
      </c>
      <c r="E116" s="275">
        <f>IFERROR(VLOOKUP(D116, 기본학점, 2, FALSE), "")</f>
        <v>4</v>
      </c>
      <c r="F116" s="276">
        <v>4</v>
      </c>
      <c r="G116" s="277"/>
      <c r="H116" s="278"/>
      <c r="I116" s="47"/>
      <c r="J116" s="268"/>
      <c r="K116" s="47"/>
      <c r="L116" s="387" t="s">
        <v>343</v>
      </c>
      <c r="M116" s="279"/>
      <c r="N116" s="280"/>
      <c r="O116" s="407"/>
      <c r="P116" s="413"/>
    </row>
    <row r="117" spans="1:16" ht="15.6" customHeight="1">
      <c r="A117" s="397"/>
      <c r="B117" s="331" t="s">
        <v>326</v>
      </c>
      <c r="C117" s="228" t="s">
        <v>270</v>
      </c>
      <c r="D117" s="195" t="s">
        <v>332</v>
      </c>
      <c r="E117" s="218">
        <v>4</v>
      </c>
      <c r="F117" s="99">
        <v>4</v>
      </c>
      <c r="G117" s="219"/>
      <c r="H117" s="220"/>
      <c r="I117" s="221"/>
      <c r="J117" s="225"/>
      <c r="K117" s="221"/>
      <c r="L117" s="353"/>
      <c r="M117" s="226" t="s">
        <v>273</v>
      </c>
      <c r="N117" s="207"/>
      <c r="O117" s="410"/>
      <c r="P117" s="414"/>
    </row>
    <row r="118" spans="1:16" ht="15.6" customHeight="1">
      <c r="A118" s="397"/>
      <c r="B118" s="339"/>
      <c r="C118" s="18" t="s">
        <v>270</v>
      </c>
      <c r="D118" s="290" t="s">
        <v>323</v>
      </c>
      <c r="E118" s="157">
        <v>4</v>
      </c>
      <c r="F118" s="139">
        <v>4</v>
      </c>
      <c r="G118" s="105"/>
      <c r="H118" s="130"/>
      <c r="I118" s="19"/>
      <c r="J118" s="20"/>
      <c r="K118" s="19"/>
      <c r="L118" s="353"/>
      <c r="M118" s="168" t="s">
        <v>273</v>
      </c>
      <c r="N118" s="260"/>
      <c r="O118" s="410"/>
      <c r="P118" s="414"/>
    </row>
    <row r="119" spans="1:16" ht="15.6" customHeight="1">
      <c r="A119" s="397"/>
      <c r="B119" s="194" t="s">
        <v>16</v>
      </c>
      <c r="C119" s="17" t="s">
        <v>270</v>
      </c>
      <c r="D119" s="250" t="s">
        <v>327</v>
      </c>
      <c r="E119" s="185">
        <v>4</v>
      </c>
      <c r="F119" s="140">
        <v>4</v>
      </c>
      <c r="G119" s="104"/>
      <c r="H119" s="128"/>
      <c r="I119" s="15"/>
      <c r="J119" s="16"/>
      <c r="K119" s="15"/>
      <c r="L119" s="353"/>
      <c r="M119" s="170"/>
      <c r="N119" s="59"/>
      <c r="O119" s="410"/>
      <c r="P119" s="414"/>
    </row>
    <row r="120" spans="1:16" ht="15.6" customHeight="1">
      <c r="A120" s="397"/>
      <c r="B120" s="330" t="s">
        <v>186</v>
      </c>
      <c r="C120" s="17" t="s">
        <v>267</v>
      </c>
      <c r="D120" s="169" t="s">
        <v>165</v>
      </c>
      <c r="E120" s="185">
        <f t="shared" ref="E120:E137" si="4">IFERROR(VLOOKUP(D120, 기본학점, 2, FALSE), "")</f>
        <v>4</v>
      </c>
      <c r="F120" s="140">
        <v>4</v>
      </c>
      <c r="G120" s="104"/>
      <c r="H120" s="133"/>
      <c r="I120" s="33"/>
      <c r="J120" s="34"/>
      <c r="K120" s="33"/>
      <c r="L120" s="353"/>
      <c r="M120" s="175"/>
      <c r="N120" s="59"/>
      <c r="O120" s="410"/>
      <c r="P120" s="414"/>
    </row>
    <row r="121" spans="1:16" ht="15.6" customHeight="1">
      <c r="A121" s="397"/>
      <c r="B121" s="331"/>
      <c r="C121" s="8" t="s">
        <v>267</v>
      </c>
      <c r="D121" s="299" t="s">
        <v>166</v>
      </c>
      <c r="E121" s="179">
        <f>IFERROR(VLOOKUP(D121, 기본학점, 2, FALSE), "")</f>
        <v>4</v>
      </c>
      <c r="F121" s="141">
        <v>4</v>
      </c>
      <c r="G121" s="42"/>
      <c r="H121" s="134"/>
      <c r="I121" s="36"/>
      <c r="J121" s="37"/>
      <c r="K121" s="36"/>
      <c r="L121" s="353"/>
      <c r="M121" s="174"/>
      <c r="N121" s="137"/>
      <c r="O121" s="410"/>
      <c r="P121" s="414"/>
    </row>
    <row r="122" spans="1:16" ht="15.6" customHeight="1">
      <c r="A122" s="397"/>
      <c r="B122" s="331"/>
      <c r="C122" s="8" t="s">
        <v>270</v>
      </c>
      <c r="D122" s="167" t="s">
        <v>296</v>
      </c>
      <c r="E122" s="179">
        <f t="shared" si="4"/>
        <v>4</v>
      </c>
      <c r="F122" s="141">
        <v>4</v>
      </c>
      <c r="G122" s="42"/>
      <c r="H122" s="134"/>
      <c r="I122" s="36"/>
      <c r="J122" s="37"/>
      <c r="K122" s="36"/>
      <c r="L122" s="353"/>
      <c r="M122" s="174"/>
      <c r="N122" s="137"/>
      <c r="O122" s="410"/>
      <c r="P122" s="414"/>
    </row>
    <row r="123" spans="1:16" ht="15.6" customHeight="1">
      <c r="A123" s="397"/>
      <c r="B123" s="331"/>
      <c r="C123" s="8" t="s">
        <v>267</v>
      </c>
      <c r="D123" s="167" t="s">
        <v>66</v>
      </c>
      <c r="E123" s="158">
        <f t="shared" si="4"/>
        <v>4</v>
      </c>
      <c r="F123" s="158">
        <v>4</v>
      </c>
      <c r="G123" s="42"/>
      <c r="H123" s="134"/>
      <c r="I123" s="36"/>
      <c r="J123" s="37"/>
      <c r="K123" s="36"/>
      <c r="L123" s="353"/>
      <c r="M123" s="166"/>
      <c r="N123" s="137"/>
      <c r="O123" s="410"/>
      <c r="P123" s="414"/>
    </row>
    <row r="124" spans="1:16" ht="15.6" customHeight="1">
      <c r="A124" s="397"/>
      <c r="B124" s="339"/>
      <c r="C124" s="23" t="s">
        <v>267</v>
      </c>
      <c r="D124" s="233" t="s">
        <v>162</v>
      </c>
      <c r="E124" s="238">
        <f>IFERROR(VLOOKUP(D124, 기본학점, 2, FALSE), "")</f>
        <v>4</v>
      </c>
      <c r="F124" s="99">
        <v>4</v>
      </c>
      <c r="G124" s="113"/>
      <c r="H124" s="234"/>
      <c r="I124" s="281"/>
      <c r="J124" s="244"/>
      <c r="K124" s="113"/>
      <c r="L124" s="353"/>
      <c r="M124" s="245"/>
      <c r="N124" s="259"/>
      <c r="O124" s="410"/>
      <c r="P124" s="414"/>
    </row>
    <row r="125" spans="1:16" ht="15.6" customHeight="1">
      <c r="A125" s="397"/>
      <c r="B125" s="330" t="s">
        <v>8</v>
      </c>
      <c r="C125" s="17" t="s">
        <v>267</v>
      </c>
      <c r="D125" s="169" t="s">
        <v>167</v>
      </c>
      <c r="E125" s="185">
        <f t="shared" si="4"/>
        <v>4</v>
      </c>
      <c r="F125" s="140">
        <v>4</v>
      </c>
      <c r="G125" s="104"/>
      <c r="H125" s="133"/>
      <c r="I125" s="13"/>
      <c r="J125" s="32"/>
      <c r="K125" s="26"/>
      <c r="L125" s="353"/>
      <c r="M125" s="175"/>
      <c r="N125" s="59"/>
      <c r="O125" s="410"/>
      <c r="P125" s="414"/>
    </row>
    <row r="126" spans="1:16" ht="15.6" customHeight="1">
      <c r="A126" s="397"/>
      <c r="B126" s="331"/>
      <c r="C126" s="8" t="s">
        <v>267</v>
      </c>
      <c r="D126" s="167" t="s">
        <v>168</v>
      </c>
      <c r="E126" s="179">
        <f>IFERROR(VLOOKUP(D126, 기본학점, 2, FALSE), "")</f>
        <v>4</v>
      </c>
      <c r="F126" s="141">
        <v>4</v>
      </c>
      <c r="G126" s="42"/>
      <c r="H126" s="134"/>
      <c r="I126" s="9"/>
      <c r="J126" s="35"/>
      <c r="K126" s="28"/>
      <c r="L126" s="353"/>
      <c r="M126" s="174"/>
      <c r="N126" s="137"/>
      <c r="O126" s="410"/>
      <c r="P126" s="414"/>
    </row>
    <row r="127" spans="1:16" ht="15.6" customHeight="1">
      <c r="A127" s="397"/>
      <c r="B127" s="331"/>
      <c r="C127" s="21" t="s">
        <v>267</v>
      </c>
      <c r="D127" s="172" t="s">
        <v>169</v>
      </c>
      <c r="E127" s="197">
        <f>IFERROR(VLOOKUP(D127, 기본학점, 2, FALSE), "")</f>
        <v>4</v>
      </c>
      <c r="F127" s="307">
        <v>4</v>
      </c>
      <c r="G127" s="120"/>
      <c r="H127" s="308"/>
      <c r="I127" s="309"/>
      <c r="J127" s="310"/>
      <c r="K127" s="311"/>
      <c r="L127" s="353"/>
      <c r="M127" s="198"/>
      <c r="N127" s="87"/>
      <c r="O127" s="410"/>
      <c r="P127" s="414"/>
    </row>
    <row r="128" spans="1:16" ht="15.6" customHeight="1">
      <c r="A128" s="397"/>
      <c r="B128" s="364" t="s">
        <v>9</v>
      </c>
      <c r="C128" s="17" t="s">
        <v>270</v>
      </c>
      <c r="D128" s="169" t="s">
        <v>316</v>
      </c>
      <c r="E128" s="185">
        <v>3</v>
      </c>
      <c r="F128" s="140">
        <v>4</v>
      </c>
      <c r="G128" s="104"/>
      <c r="H128" s="133"/>
      <c r="I128" s="13"/>
      <c r="J128" s="32"/>
      <c r="K128" s="26"/>
      <c r="L128" s="353"/>
      <c r="M128" s="175" t="s">
        <v>273</v>
      </c>
      <c r="N128" s="59"/>
      <c r="O128" s="410"/>
      <c r="P128" s="414"/>
    </row>
    <row r="129" spans="1:17" ht="15.6" customHeight="1">
      <c r="A129" s="397"/>
      <c r="B129" s="365"/>
      <c r="C129" s="18" t="s">
        <v>267</v>
      </c>
      <c r="D129" s="171" t="s">
        <v>361</v>
      </c>
      <c r="E129" s="157">
        <v>3</v>
      </c>
      <c r="F129" s="303">
        <v>4</v>
      </c>
      <c r="G129" s="105"/>
      <c r="H129" s="264"/>
      <c r="I129" s="312"/>
      <c r="J129" s="306"/>
      <c r="K129" s="19"/>
      <c r="L129" s="353"/>
      <c r="M129" s="267" t="s">
        <v>273</v>
      </c>
      <c r="N129" s="260"/>
      <c r="O129" s="410"/>
      <c r="P129" s="414"/>
    </row>
    <row r="130" spans="1:17" ht="15.6" customHeight="1">
      <c r="A130" s="397"/>
      <c r="B130" s="331" t="s">
        <v>330</v>
      </c>
      <c r="C130" s="228" t="s">
        <v>270</v>
      </c>
      <c r="D130" s="292" t="s">
        <v>331</v>
      </c>
      <c r="E130" s="98">
        <v>3</v>
      </c>
      <c r="F130" s="99">
        <v>4</v>
      </c>
      <c r="G130" s="261"/>
      <c r="H130" s="230"/>
      <c r="I130" s="293"/>
      <c r="J130" s="294"/>
      <c r="K130" s="295"/>
      <c r="L130" s="353"/>
      <c r="M130" s="226"/>
      <c r="N130" s="207"/>
      <c r="O130" s="410"/>
      <c r="P130" s="414"/>
    </row>
    <row r="131" spans="1:17" ht="15.6" customHeight="1">
      <c r="A131" s="397"/>
      <c r="B131" s="331"/>
      <c r="C131" s="228" t="s">
        <v>267</v>
      </c>
      <c r="D131" s="292" t="s">
        <v>364</v>
      </c>
      <c r="E131" s="179">
        <v>3</v>
      </c>
      <c r="F131" s="99">
        <v>4</v>
      </c>
      <c r="G131" s="261"/>
      <c r="H131" s="230"/>
      <c r="I131" s="293"/>
      <c r="J131" s="294"/>
      <c r="K131" s="295"/>
      <c r="L131" s="353"/>
      <c r="M131" s="226" t="s">
        <v>273</v>
      </c>
      <c r="N131" s="207"/>
      <c r="O131" s="410"/>
      <c r="P131" s="414"/>
    </row>
    <row r="132" spans="1:17" ht="15.6" customHeight="1">
      <c r="A132" s="397"/>
      <c r="B132" s="331"/>
      <c r="C132" s="228" t="s">
        <v>270</v>
      </c>
      <c r="D132" s="292" t="s">
        <v>363</v>
      </c>
      <c r="E132" s="179">
        <v>3</v>
      </c>
      <c r="F132" s="99">
        <v>4</v>
      </c>
      <c r="G132" s="261"/>
      <c r="H132" s="230"/>
      <c r="I132" s="293"/>
      <c r="J132" s="294"/>
      <c r="K132" s="295"/>
      <c r="L132" s="353"/>
      <c r="M132" s="226" t="s">
        <v>273</v>
      </c>
      <c r="N132" s="207"/>
      <c r="O132" s="410"/>
      <c r="P132" s="414"/>
    </row>
    <row r="133" spans="1:17" ht="15.6" customHeight="1">
      <c r="A133" s="397"/>
      <c r="B133" s="331"/>
      <c r="C133" s="8" t="s">
        <v>267</v>
      </c>
      <c r="D133" s="291" t="s">
        <v>362</v>
      </c>
      <c r="E133" s="98">
        <v>3</v>
      </c>
      <c r="F133" s="141">
        <v>4</v>
      </c>
      <c r="G133" s="121"/>
      <c r="H133" s="134"/>
      <c r="I133" s="38"/>
      <c r="J133" s="35"/>
      <c r="K133" s="28"/>
      <c r="L133" s="353"/>
      <c r="M133" s="174" t="s">
        <v>273</v>
      </c>
      <c r="N133" s="137"/>
      <c r="O133" s="410"/>
      <c r="P133" s="414"/>
    </row>
    <row r="134" spans="1:17" ht="15.6" customHeight="1">
      <c r="A134" s="397"/>
      <c r="B134" s="330" t="s">
        <v>190</v>
      </c>
      <c r="C134" s="229" t="s">
        <v>267</v>
      </c>
      <c r="D134" s="282" t="s">
        <v>317</v>
      </c>
      <c r="E134" s="210">
        <v>3</v>
      </c>
      <c r="F134" s="211">
        <v>4</v>
      </c>
      <c r="G134" s="223"/>
      <c r="H134" s="224"/>
      <c r="I134" s="151"/>
      <c r="J134" s="51"/>
      <c r="K134" s="50"/>
      <c r="L134" s="388"/>
      <c r="M134" s="227" t="s">
        <v>293</v>
      </c>
      <c r="N134" s="208"/>
      <c r="O134" s="410"/>
      <c r="P134" s="414"/>
    </row>
    <row r="135" spans="1:17" ht="15.6" customHeight="1">
      <c r="A135" s="397"/>
      <c r="B135" s="331"/>
      <c r="C135" s="17" t="s">
        <v>267</v>
      </c>
      <c r="D135" s="289" t="s">
        <v>339</v>
      </c>
      <c r="E135" s="185">
        <v>2</v>
      </c>
      <c r="F135" s="140">
        <v>1</v>
      </c>
      <c r="G135" s="104"/>
      <c r="H135" s="128"/>
      <c r="I135" s="13"/>
      <c r="J135" s="14"/>
      <c r="K135" s="15"/>
      <c r="L135" s="353" t="s">
        <v>344</v>
      </c>
      <c r="M135" s="175" t="s">
        <v>292</v>
      </c>
      <c r="N135" s="59"/>
      <c r="O135" s="410"/>
      <c r="P135" s="414"/>
    </row>
    <row r="136" spans="1:17" ht="15.6" customHeight="1" thickBot="1">
      <c r="A136" s="397"/>
      <c r="B136" s="331"/>
      <c r="C136" s="228" t="s">
        <v>270</v>
      </c>
      <c r="D136" s="201" t="s">
        <v>340</v>
      </c>
      <c r="E136" s="98">
        <v>2</v>
      </c>
      <c r="F136" s="218">
        <v>1</v>
      </c>
      <c r="G136" s="219"/>
      <c r="H136" s="220"/>
      <c r="I136" s="248"/>
      <c r="J136" s="249"/>
      <c r="K136" s="271"/>
      <c r="L136" s="354"/>
      <c r="M136" s="226" t="s">
        <v>292</v>
      </c>
      <c r="N136" s="207"/>
      <c r="O136" s="411"/>
      <c r="P136" s="415"/>
    </row>
    <row r="137" spans="1:17" ht="17.25" hidden="1" thickBot="1">
      <c r="A137" s="114"/>
      <c r="B137" s="97"/>
      <c r="C137" s="115"/>
      <c r="D137" s="116"/>
      <c r="E137" s="101" t="str">
        <f t="shared" si="4"/>
        <v/>
      </c>
      <c r="F137" s="103"/>
      <c r="G137" s="113"/>
      <c r="H137" s="178"/>
      <c r="I137" s="24"/>
      <c r="J137" s="155"/>
      <c r="K137" s="97"/>
      <c r="L137" s="155"/>
      <c r="M137" s="23"/>
      <c r="N137" s="23"/>
      <c r="O137" s="161"/>
      <c r="P137" s="162"/>
    </row>
    <row r="138" spans="1:17">
      <c r="A138" s="389" t="s">
        <v>187</v>
      </c>
      <c r="B138" s="390"/>
      <c r="C138" s="390"/>
      <c r="D138" s="390"/>
      <c r="E138" s="391"/>
      <c r="F138" s="52"/>
      <c r="G138" s="47">
        <f>SUM(G7:G35)+6</f>
        <v>30</v>
      </c>
      <c r="H138" s="163">
        <f>SUM(H7:H35)+6</f>
        <v>30</v>
      </c>
      <c r="I138" s="47">
        <f>SUM(I7:I35)+16</f>
        <v>30</v>
      </c>
      <c r="J138" s="48">
        <f>SUM(J7:J35)+16</f>
        <v>30</v>
      </c>
      <c r="K138" s="47">
        <f>SUM(K7:K39)+13</f>
        <v>29</v>
      </c>
      <c r="L138" s="268">
        <f>SUM(L7:L39)+25</f>
        <v>29</v>
      </c>
      <c r="M138" s="148"/>
      <c r="N138" s="148"/>
      <c r="O138" s="25">
        <f>SUM(G138:L138)</f>
        <v>178</v>
      </c>
      <c r="P138" s="153">
        <f>SUM(P7:P136)</f>
        <v>84</v>
      </c>
      <c r="Q138" s="1"/>
    </row>
    <row r="139" spans="1:17">
      <c r="A139" s="392" t="s">
        <v>5</v>
      </c>
      <c r="B139" s="393"/>
      <c r="C139" s="393"/>
      <c r="D139" s="393"/>
      <c r="E139" s="394"/>
      <c r="F139" s="49">
        <v>18</v>
      </c>
      <c r="G139" s="24">
        <v>3</v>
      </c>
      <c r="H139" s="155">
        <v>3</v>
      </c>
      <c r="I139" s="154">
        <v>3</v>
      </c>
      <c r="J139" s="155">
        <v>3</v>
      </c>
      <c r="K139" s="154">
        <v>3</v>
      </c>
      <c r="L139" s="152">
        <v>3</v>
      </c>
      <c r="M139" s="71"/>
      <c r="N139" s="24"/>
      <c r="O139" s="24">
        <f>SUM(G139:L139)</f>
        <v>18</v>
      </c>
      <c r="P139" s="150">
        <v>18</v>
      </c>
    </row>
    <row r="140" spans="1:17">
      <c r="A140" s="392" t="s">
        <v>23</v>
      </c>
      <c r="B140" s="393"/>
      <c r="C140" s="393"/>
      <c r="D140" s="393"/>
      <c r="E140" s="393"/>
      <c r="F140" s="394"/>
      <c r="G140" s="50">
        <f>SUM(G138:G139)</f>
        <v>33</v>
      </c>
      <c r="H140" s="51">
        <f t="shared" ref="H140" si="5">SUM(H138:H139)</f>
        <v>33</v>
      </c>
      <c r="I140" s="50">
        <f>SUM(I138:I139)</f>
        <v>33</v>
      </c>
      <c r="J140" s="51">
        <f>SUM(J138:J139)</f>
        <v>33</v>
      </c>
      <c r="K140" s="50">
        <f>SUM(K138:K139)</f>
        <v>32</v>
      </c>
      <c r="L140" s="51">
        <f>SUM(L138:L139)</f>
        <v>32</v>
      </c>
      <c r="M140" s="49"/>
      <c r="N140" s="151"/>
      <c r="O140" s="402">
        <f>SUM(G140:L140)</f>
        <v>196</v>
      </c>
      <c r="P140" s="403"/>
    </row>
    <row r="141" spans="1:17">
      <c r="A141" s="392" t="s">
        <v>188</v>
      </c>
      <c r="B141" s="393"/>
      <c r="C141" s="393"/>
      <c r="D141" s="393"/>
      <c r="E141" s="393"/>
      <c r="F141" s="394"/>
      <c r="G141" s="151">
        <v>11</v>
      </c>
      <c r="H141" s="51">
        <v>11</v>
      </c>
      <c r="I141" s="50">
        <v>10</v>
      </c>
      <c r="J141" s="51">
        <v>10</v>
      </c>
      <c r="K141" s="50">
        <v>10</v>
      </c>
      <c r="L141" s="156">
        <v>9</v>
      </c>
      <c r="M141" s="49"/>
      <c r="N141" s="151"/>
      <c r="O141" s="404"/>
      <c r="P141" s="405"/>
    </row>
    <row r="142" spans="1:17" ht="14.25" thickBot="1">
      <c r="A142" s="381" t="s">
        <v>24</v>
      </c>
      <c r="B142" s="382"/>
      <c r="C142" s="382"/>
      <c r="D142" s="382"/>
      <c r="E142" s="382"/>
      <c r="F142" s="383"/>
      <c r="G142" s="400">
        <f>SUM(G140:H140)</f>
        <v>66</v>
      </c>
      <c r="H142" s="383"/>
      <c r="I142" s="400">
        <f t="shared" ref="I142" si="6">SUM(I140:J140)</f>
        <v>66</v>
      </c>
      <c r="J142" s="383"/>
      <c r="K142" s="400">
        <f t="shared" ref="K142" si="7">SUM(K140:L140)</f>
        <v>64</v>
      </c>
      <c r="L142" s="383"/>
      <c r="M142" s="72"/>
      <c r="N142" s="144"/>
      <c r="O142" s="400">
        <f>SUM(G142:L142)</f>
        <v>196</v>
      </c>
      <c r="P142" s="401"/>
    </row>
    <row r="143" spans="1:17" ht="15" customHeight="1">
      <c r="A143" s="319" t="s">
        <v>345</v>
      </c>
      <c r="B143" s="320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320"/>
      <c r="P143" s="321"/>
    </row>
    <row r="144" spans="1:17" ht="15" customHeight="1">
      <c r="A144" s="322"/>
      <c r="B144" s="323"/>
      <c r="C144" s="323"/>
      <c r="D144" s="323"/>
      <c r="E144" s="323"/>
      <c r="F144" s="323"/>
      <c r="G144" s="323"/>
      <c r="H144" s="323"/>
      <c r="I144" s="323"/>
      <c r="J144" s="323"/>
      <c r="K144" s="323"/>
      <c r="L144" s="323"/>
      <c r="M144" s="323"/>
      <c r="N144" s="323"/>
      <c r="O144" s="323"/>
      <c r="P144" s="324"/>
    </row>
    <row r="145" spans="1:16" ht="15" customHeight="1">
      <c r="A145" s="322"/>
      <c r="B145" s="323"/>
      <c r="C145" s="323"/>
      <c r="D145" s="323"/>
      <c r="E145" s="323"/>
      <c r="F145" s="323"/>
      <c r="G145" s="323"/>
      <c r="H145" s="323"/>
      <c r="I145" s="323"/>
      <c r="J145" s="323"/>
      <c r="K145" s="323"/>
      <c r="L145" s="323"/>
      <c r="M145" s="323"/>
      <c r="N145" s="323"/>
      <c r="O145" s="323"/>
      <c r="P145" s="324"/>
    </row>
    <row r="146" spans="1:16" ht="15" customHeight="1">
      <c r="A146" s="322"/>
      <c r="B146" s="323"/>
      <c r="C146" s="323"/>
      <c r="D146" s="323"/>
      <c r="E146" s="323"/>
      <c r="F146" s="323"/>
      <c r="G146" s="323"/>
      <c r="H146" s="323"/>
      <c r="I146" s="323"/>
      <c r="J146" s="323"/>
      <c r="K146" s="323"/>
      <c r="L146" s="323"/>
      <c r="M146" s="323"/>
      <c r="N146" s="323"/>
      <c r="O146" s="323"/>
      <c r="P146" s="324"/>
    </row>
    <row r="147" spans="1:16" ht="15" customHeight="1">
      <c r="A147" s="322"/>
      <c r="B147" s="323"/>
      <c r="C147" s="323"/>
      <c r="D147" s="323"/>
      <c r="E147" s="323"/>
      <c r="F147" s="323"/>
      <c r="G147" s="323"/>
      <c r="H147" s="323"/>
      <c r="I147" s="323"/>
      <c r="J147" s="323"/>
      <c r="K147" s="323"/>
      <c r="L147" s="323"/>
      <c r="M147" s="323"/>
      <c r="N147" s="323"/>
      <c r="O147" s="323"/>
      <c r="P147" s="324"/>
    </row>
    <row r="148" spans="1:16" ht="15" customHeight="1">
      <c r="A148" s="322"/>
      <c r="B148" s="323"/>
      <c r="C148" s="323"/>
      <c r="D148" s="323"/>
      <c r="E148" s="323"/>
      <c r="F148" s="323"/>
      <c r="G148" s="323"/>
      <c r="H148" s="323"/>
      <c r="I148" s="323"/>
      <c r="J148" s="323"/>
      <c r="K148" s="323"/>
      <c r="L148" s="323"/>
      <c r="M148" s="323"/>
      <c r="N148" s="323"/>
      <c r="O148" s="323"/>
      <c r="P148" s="324"/>
    </row>
    <row r="149" spans="1:16" ht="15" customHeight="1" thickBot="1">
      <c r="A149" s="325"/>
      <c r="B149" s="326"/>
      <c r="C149" s="326"/>
      <c r="D149" s="326"/>
      <c r="E149" s="326"/>
      <c r="F149" s="326"/>
      <c r="G149" s="326"/>
      <c r="H149" s="326"/>
      <c r="I149" s="326"/>
      <c r="J149" s="326"/>
      <c r="K149" s="326"/>
      <c r="L149" s="326"/>
      <c r="M149" s="326"/>
      <c r="N149" s="326"/>
      <c r="O149" s="326"/>
      <c r="P149" s="327"/>
    </row>
  </sheetData>
  <mergeCells count="100">
    <mergeCell ref="A7:A39"/>
    <mergeCell ref="O142:P142"/>
    <mergeCell ref="O140:P140"/>
    <mergeCell ref="O141:P141"/>
    <mergeCell ref="O47:O94"/>
    <mergeCell ref="O95:O136"/>
    <mergeCell ref="P47:P94"/>
    <mergeCell ref="P95:P136"/>
    <mergeCell ref="P40:P46"/>
    <mergeCell ref="K142:L142"/>
    <mergeCell ref="A95:A136"/>
    <mergeCell ref="K95:K113"/>
    <mergeCell ref="G142:H142"/>
    <mergeCell ref="I142:J142"/>
    <mergeCell ref="I47:I67"/>
    <mergeCell ref="A140:F140"/>
    <mergeCell ref="A138:E138"/>
    <mergeCell ref="A139:E139"/>
    <mergeCell ref="A47:A94"/>
    <mergeCell ref="A40:A46"/>
    <mergeCell ref="A141:F141"/>
    <mergeCell ref="B59:B60"/>
    <mergeCell ref="B84:B85"/>
    <mergeCell ref="A142:F142"/>
    <mergeCell ref="K2:P2"/>
    <mergeCell ref="B120:B124"/>
    <mergeCell ref="B117:B118"/>
    <mergeCell ref="B103:B106"/>
    <mergeCell ref="B109:B112"/>
    <mergeCell ref="B67:B69"/>
    <mergeCell ref="B71:B72"/>
    <mergeCell ref="B80:B83"/>
    <mergeCell ref="B86:B89"/>
    <mergeCell ref="B92:B94"/>
    <mergeCell ref="B95:B97"/>
    <mergeCell ref="B130:B133"/>
    <mergeCell ref="B134:B136"/>
    <mergeCell ref="A2:D2"/>
    <mergeCell ref="L116:L134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N3:N5"/>
    <mergeCell ref="L135:L136"/>
    <mergeCell ref="K114:K115"/>
    <mergeCell ref="B30:B35"/>
    <mergeCell ref="B55:B58"/>
    <mergeCell ref="B43:B46"/>
    <mergeCell ref="B36:B39"/>
    <mergeCell ref="B61:B64"/>
    <mergeCell ref="B41:B42"/>
    <mergeCell ref="B50:B54"/>
    <mergeCell ref="B74:B79"/>
    <mergeCell ref="B125:B127"/>
    <mergeCell ref="I68:I69"/>
    <mergeCell ref="J70:J92"/>
    <mergeCell ref="J93:J94"/>
    <mergeCell ref="B107:B108"/>
    <mergeCell ref="B128:B129"/>
    <mergeCell ref="B26:B29"/>
    <mergeCell ref="P12:P16"/>
    <mergeCell ref="B17:B21"/>
    <mergeCell ref="P26:P29"/>
    <mergeCell ref="P30:P35"/>
    <mergeCell ref="J4:J5"/>
    <mergeCell ref="B22:B25"/>
    <mergeCell ref="P24:P25"/>
    <mergeCell ref="P17:P21"/>
    <mergeCell ref="K4:K5"/>
    <mergeCell ref="L4:L5"/>
    <mergeCell ref="P22:P23"/>
    <mergeCell ref="D3:D5"/>
    <mergeCell ref="A143:P149"/>
    <mergeCell ref="O24:O25"/>
    <mergeCell ref="B12:B16"/>
    <mergeCell ref="B113:B115"/>
    <mergeCell ref="O7:O11"/>
    <mergeCell ref="P7:P11"/>
    <mergeCell ref="O12:O16"/>
    <mergeCell ref="O17:O21"/>
    <mergeCell ref="O22:O23"/>
    <mergeCell ref="B7:B11"/>
    <mergeCell ref="O36:O39"/>
    <mergeCell ref="O26:O29"/>
    <mergeCell ref="O30:O35"/>
    <mergeCell ref="B98:B102"/>
    <mergeCell ref="O40:O46"/>
    <mergeCell ref="P36:P39"/>
  </mergeCells>
  <phoneticPr fontId="1" type="noConversion"/>
  <conditionalFormatting sqref="E7:E22 E47:E77 E80:E100 E108:E117 E120:E122 E125:E136">
    <cfRule type="expression" dxfId="15" priority="1">
      <formula>ISTEXT(E7)</formula>
    </cfRule>
  </conditionalFormatting>
  <conditionalFormatting sqref="E24:E45">
    <cfRule type="expression" dxfId="14" priority="52">
      <formula>ISTEXT(E24)</formula>
    </cfRule>
  </conditionalFormatting>
  <conditionalFormatting sqref="E103:E107">
    <cfRule type="expression" dxfId="13" priority="21">
      <formula>ISTEXT(E103)</formula>
    </cfRule>
  </conditionalFormatting>
  <conditionalFormatting sqref="F48:F49">
    <cfRule type="expression" dxfId="12" priority="66">
      <formula>ISTEXT(F48)</formula>
    </cfRule>
  </conditionalFormatting>
  <dataValidations xWindow="521" yWindow="482" count="6">
    <dataValidation type="list" allowBlank="1" showInputMessage="1" showErrorMessage="1" sqref="C7:C29 C47:C59 C95:C107 C117:C128 C70:C84">
      <formula1>과목유형</formula1>
    </dataValidation>
    <dataValidation type="list" allowBlank="1" showInputMessage="1" showErrorMessage="1" sqref="B7:B10 B116:B117 B119:B120 B137 B12:B50 B61:B74 B109:B113 B130:B134 B103:B107 B125:B128 B55:B59 B80:B84 B86:B98">
      <formula1>교과군</formula1>
    </dataValidation>
    <dataValidation type="list" allowBlank="1" showInputMessage="1" showErrorMessage="1" sqref="C30:C46 C60:C69 C85:C94 C108:C116 C129:C137">
      <formula1>과목유형2</formula1>
    </dataValidation>
    <dataValidation type="list" allowBlank="1" showInputMessage="1" sqref="N137 M7:M137">
      <formula1>비고</formula1>
    </dataValidation>
    <dataValidation type="list" allowBlank="1" showInputMessage="1" sqref="D118:D119">
      <formula1>INDIRECT(C72)</formula1>
    </dataValidation>
    <dataValidation type="list" allowBlank="1" showInputMessage="1" sqref="N7:N136">
      <formula1>과목개설유형</formula1>
    </dataValidation>
  </dataValidations>
  <pageMargins left="0.19685039370078741" right="0.19685039370078741" top="0.19685039370078741" bottom="0.19685039370078741" header="0" footer="0"/>
  <pageSetup paperSize="12" scale="81" fitToHeight="0" orientation="portrait" r:id="rId1"/>
  <ignoredErrors>
    <ignoredError sqref="I140 O139 K140" formulaRange="1"/>
    <ignoredError sqref="E43:E46 E60:H60" calculatedColum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F50:F137 F7:F47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2">
        <x14:dataValidation type="list" allowBlank="1" showInputMessage="1">
          <x14:formula1>
            <xm:f>INDIRECT(VLOOKUP(LOOKUP(2,1/(B$7:B7&lt;&gt;""),B$7:B7), 데이터베이스!A:B, 2, FALSE) &amp; C7)</xm:f>
          </x14:formula1>
          <xm:sqref>D137 D90:D92 D95:D107 D113:D117 D70:D84 D65:D67 D7:D42 D47:D59</xm:sqref>
        </x14:dataValidation>
        <x14:dataValidation type="list" allowBlank="1" showInputMessage="1">
          <x14:formula1>
            <xm:f>INDIRECT(VLOOKUP(LOOKUP(2,1/(B$7:B119&lt;&gt;""),B$7:B119), 데이터베이스!A:B, 2, FALSE) &amp; C120)</xm:f>
          </x14:formula1>
          <xm:sqref>D120:D128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75" customWidth="1"/>
    <col min="2" max="3" width="10.5546875" style="75" customWidth="1"/>
    <col min="4" max="16384" width="8.77734375" style="75"/>
  </cols>
  <sheetData>
    <row r="1" spans="1:39" ht="24">
      <c r="A1" s="85" t="s">
        <v>3</v>
      </c>
      <c r="B1" s="86" t="s">
        <v>192</v>
      </c>
      <c r="C1" s="86" t="s">
        <v>240</v>
      </c>
      <c r="D1" s="73" t="s">
        <v>12</v>
      </c>
      <c r="E1" s="74" t="s">
        <v>202</v>
      </c>
      <c r="F1" s="74" t="s">
        <v>203</v>
      </c>
      <c r="G1" s="74" t="s">
        <v>204</v>
      </c>
      <c r="H1" s="74" t="s">
        <v>205</v>
      </c>
      <c r="I1" s="74" t="s">
        <v>206</v>
      </c>
      <c r="J1" s="74" t="s">
        <v>207</v>
      </c>
      <c r="K1" s="74" t="s">
        <v>208</v>
      </c>
      <c r="L1" s="74" t="s">
        <v>209</v>
      </c>
      <c r="M1" s="74" t="s">
        <v>210</v>
      </c>
      <c r="N1" s="74" t="s">
        <v>211</v>
      </c>
      <c r="O1" s="74" t="s">
        <v>212</v>
      </c>
      <c r="P1" s="74" t="s">
        <v>213</v>
      </c>
      <c r="Q1" s="74" t="s">
        <v>214</v>
      </c>
      <c r="R1" s="74" t="s">
        <v>215</v>
      </c>
      <c r="S1" s="74" t="s">
        <v>216</v>
      </c>
      <c r="T1" s="74" t="s">
        <v>217</v>
      </c>
      <c r="U1" s="74" t="s">
        <v>218</v>
      </c>
      <c r="V1" s="74" t="s">
        <v>219</v>
      </c>
      <c r="W1" s="74" t="s">
        <v>220</v>
      </c>
      <c r="X1" s="74" t="s">
        <v>221</v>
      </c>
      <c r="Y1" s="74" t="s">
        <v>222</v>
      </c>
      <c r="Z1" s="74" t="s">
        <v>223</v>
      </c>
      <c r="AA1" s="74" t="s">
        <v>224</v>
      </c>
      <c r="AB1" s="74" t="s">
        <v>225</v>
      </c>
      <c r="AC1" s="74" t="s">
        <v>226</v>
      </c>
      <c r="AD1" s="74" t="s">
        <v>227</v>
      </c>
      <c r="AE1" s="74" t="s">
        <v>228</v>
      </c>
      <c r="AF1" s="74" t="s">
        <v>229</v>
      </c>
      <c r="AG1" s="74" t="s">
        <v>230</v>
      </c>
      <c r="AH1" s="74" t="s">
        <v>231</v>
      </c>
      <c r="AI1" s="74" t="s">
        <v>232</v>
      </c>
      <c r="AJ1" s="74" t="s">
        <v>233</v>
      </c>
      <c r="AK1" s="74" t="s">
        <v>234</v>
      </c>
      <c r="AL1" s="74" t="s">
        <v>235</v>
      </c>
      <c r="AM1" s="74" t="s">
        <v>236</v>
      </c>
    </row>
    <row r="2" spans="1:39">
      <c r="A2" s="85" t="s">
        <v>6</v>
      </c>
      <c r="B2" s="85" t="s">
        <v>193</v>
      </c>
      <c r="C2" s="85" t="s">
        <v>241</v>
      </c>
      <c r="D2" s="73" t="s">
        <v>15</v>
      </c>
      <c r="E2" s="76" t="s">
        <v>27</v>
      </c>
      <c r="F2" s="76" t="s">
        <v>56</v>
      </c>
      <c r="G2" s="76" t="s">
        <v>58</v>
      </c>
      <c r="H2" s="76" t="s">
        <v>59</v>
      </c>
      <c r="I2" s="76" t="s">
        <v>28</v>
      </c>
      <c r="J2" s="76" t="s">
        <v>54</v>
      </c>
      <c r="K2" s="76" t="s">
        <v>105</v>
      </c>
      <c r="L2" s="76" t="s">
        <v>61</v>
      </c>
      <c r="M2" s="76" t="s">
        <v>29</v>
      </c>
      <c r="N2" s="76" t="s">
        <v>55</v>
      </c>
      <c r="O2" s="76" t="s">
        <v>101</v>
      </c>
      <c r="P2" s="76" t="s">
        <v>63</v>
      </c>
      <c r="Q2" s="76" t="s">
        <v>114</v>
      </c>
      <c r="R2" s="76" t="s">
        <v>65</v>
      </c>
      <c r="S2" s="77" t="s">
        <v>141</v>
      </c>
      <c r="T2" s="76" t="s">
        <v>66</v>
      </c>
      <c r="U2" s="76" t="s">
        <v>118</v>
      </c>
      <c r="V2" s="76" t="s">
        <v>125</v>
      </c>
      <c r="W2" s="76" t="s">
        <v>67</v>
      </c>
      <c r="X2" s="76" t="s">
        <v>167</v>
      </c>
      <c r="Y2" s="77" t="s">
        <v>129</v>
      </c>
      <c r="Z2" s="76" t="s">
        <v>153</v>
      </c>
      <c r="AA2" s="76" t="s">
        <v>170</v>
      </c>
      <c r="AB2" s="76" t="s">
        <v>131</v>
      </c>
      <c r="AC2" s="76" t="s">
        <v>70</v>
      </c>
      <c r="AD2" s="76" t="s">
        <v>71</v>
      </c>
      <c r="AE2" s="76" t="s">
        <v>112</v>
      </c>
      <c r="AF2" s="76" t="s">
        <v>154</v>
      </c>
      <c r="AG2" s="76" t="s">
        <v>74</v>
      </c>
      <c r="AH2" s="76" t="s">
        <v>83</v>
      </c>
      <c r="AI2" s="77" t="s">
        <v>158</v>
      </c>
      <c r="AJ2" s="76" t="s">
        <v>174</v>
      </c>
      <c r="AK2" s="76" t="s">
        <v>76</v>
      </c>
      <c r="AL2" s="77" t="s">
        <v>88</v>
      </c>
      <c r="AM2" s="76" t="s">
        <v>90</v>
      </c>
    </row>
    <row r="3" spans="1:39">
      <c r="A3" s="85" t="s">
        <v>7</v>
      </c>
      <c r="B3" s="85" t="s">
        <v>194</v>
      </c>
      <c r="C3" s="85" t="s">
        <v>241</v>
      </c>
      <c r="D3" s="73" t="s">
        <v>17</v>
      </c>
      <c r="E3" s="76" t="s">
        <v>31</v>
      </c>
      <c r="F3" s="76" t="s">
        <v>57</v>
      </c>
      <c r="G3" s="76" t="s">
        <v>77</v>
      </c>
      <c r="H3" s="76" t="s">
        <v>60</v>
      </c>
      <c r="I3" s="76" t="s">
        <v>34</v>
      </c>
      <c r="J3" s="76" t="s">
        <v>53</v>
      </c>
      <c r="K3" s="76" t="s">
        <v>106</v>
      </c>
      <c r="L3" s="76" t="s">
        <v>62</v>
      </c>
      <c r="M3" s="76" t="s">
        <v>40</v>
      </c>
      <c r="N3" s="77" t="s">
        <v>78</v>
      </c>
      <c r="O3" s="77" t="s">
        <v>79</v>
      </c>
      <c r="P3" s="76" t="s">
        <v>64</v>
      </c>
      <c r="Q3" s="76" t="s">
        <v>115</v>
      </c>
      <c r="R3" s="76" t="s">
        <v>122</v>
      </c>
      <c r="S3" s="76" t="s">
        <v>142</v>
      </c>
      <c r="T3" s="76" t="s">
        <v>162</v>
      </c>
      <c r="U3" s="76" t="s">
        <v>119</v>
      </c>
      <c r="V3" s="77" t="s">
        <v>126</v>
      </c>
      <c r="W3" s="76" t="s">
        <v>68</v>
      </c>
      <c r="X3" s="76" t="s">
        <v>168</v>
      </c>
      <c r="Y3" s="77" t="s">
        <v>130</v>
      </c>
      <c r="Z3" s="76" t="s">
        <v>109</v>
      </c>
      <c r="AA3" s="76" t="s">
        <v>171</v>
      </c>
      <c r="AB3" s="76" t="s">
        <v>81</v>
      </c>
      <c r="AC3" s="76" t="s">
        <v>72</v>
      </c>
      <c r="AD3" s="76" t="s">
        <v>47</v>
      </c>
      <c r="AE3" s="76" t="s">
        <v>48</v>
      </c>
      <c r="AF3" s="76" t="s">
        <v>155</v>
      </c>
      <c r="AG3" s="76" t="s">
        <v>75</v>
      </c>
      <c r="AH3" s="76" t="s">
        <v>132</v>
      </c>
      <c r="AI3" s="76" t="s">
        <v>159</v>
      </c>
      <c r="AJ3" s="76" t="s">
        <v>175</v>
      </c>
      <c r="AK3" s="76" t="s">
        <v>52</v>
      </c>
      <c r="AL3" s="76" t="s">
        <v>98</v>
      </c>
      <c r="AM3" s="76" t="s">
        <v>178</v>
      </c>
    </row>
    <row r="4" spans="1:39">
      <c r="A4" s="85" t="s">
        <v>16</v>
      </c>
      <c r="B4" s="85" t="s">
        <v>195</v>
      </c>
      <c r="C4" s="85" t="s">
        <v>241</v>
      </c>
      <c r="D4" s="73" t="s">
        <v>19</v>
      </c>
      <c r="E4" s="78"/>
      <c r="F4" s="76" t="s">
        <v>30</v>
      </c>
      <c r="G4" s="76" t="s">
        <v>32</v>
      </c>
      <c r="H4" s="76" t="s">
        <v>33</v>
      </c>
      <c r="I4" s="76" t="s">
        <v>38</v>
      </c>
      <c r="J4" s="76" t="s">
        <v>35</v>
      </c>
      <c r="K4" s="76" t="s">
        <v>108</v>
      </c>
      <c r="L4" s="76" t="s">
        <v>37</v>
      </c>
      <c r="M4" s="76" t="s">
        <v>43</v>
      </c>
      <c r="N4" s="76" t="s">
        <v>41</v>
      </c>
      <c r="O4" s="77" t="s">
        <v>138</v>
      </c>
      <c r="P4" s="76" t="s">
        <v>42</v>
      </c>
      <c r="Q4" s="76" t="s">
        <v>116</v>
      </c>
      <c r="R4" s="76" t="s">
        <v>123</v>
      </c>
      <c r="S4" s="76" t="s">
        <v>143</v>
      </c>
      <c r="T4" s="76" t="s">
        <v>163</v>
      </c>
      <c r="U4" s="76" t="s">
        <v>120</v>
      </c>
      <c r="V4" s="76" t="s">
        <v>127</v>
      </c>
      <c r="W4" s="76" t="s">
        <v>69</v>
      </c>
      <c r="X4" s="76" t="s">
        <v>169</v>
      </c>
      <c r="Z4" s="76" t="s">
        <v>110</v>
      </c>
      <c r="AB4" s="76" t="s">
        <v>82</v>
      </c>
      <c r="AC4" s="76" t="s">
        <v>73</v>
      </c>
      <c r="AF4" s="77" t="s">
        <v>156</v>
      </c>
      <c r="AG4" s="76" t="s">
        <v>111</v>
      </c>
      <c r="AH4" s="76" t="s">
        <v>133</v>
      </c>
      <c r="AI4" s="77" t="s">
        <v>160</v>
      </c>
      <c r="AJ4" s="76" t="s">
        <v>176</v>
      </c>
      <c r="AL4" s="77" t="s">
        <v>89</v>
      </c>
    </row>
    <row r="5" spans="1:39" ht="24">
      <c r="A5" s="86" t="s">
        <v>186</v>
      </c>
      <c r="B5" s="85" t="s">
        <v>196</v>
      </c>
      <c r="C5" s="85" t="s">
        <v>241</v>
      </c>
      <c r="D5" s="73" t="s">
        <v>113</v>
      </c>
      <c r="E5" s="78"/>
      <c r="F5" s="78"/>
      <c r="G5" s="78"/>
      <c r="H5" s="78"/>
      <c r="I5" s="76" t="s">
        <v>39</v>
      </c>
      <c r="J5" s="78"/>
      <c r="K5" s="76" t="s">
        <v>107</v>
      </c>
      <c r="L5" s="78"/>
      <c r="M5" s="76" t="s">
        <v>44</v>
      </c>
      <c r="N5" s="79"/>
      <c r="O5" s="76" t="s">
        <v>139</v>
      </c>
      <c r="P5" s="79"/>
      <c r="Q5" s="76" t="s">
        <v>117</v>
      </c>
      <c r="R5" s="76" t="s">
        <v>124</v>
      </c>
      <c r="S5" s="76" t="s">
        <v>144</v>
      </c>
      <c r="T5" s="76" t="s">
        <v>164</v>
      </c>
      <c r="U5" s="76" t="s">
        <v>121</v>
      </c>
      <c r="V5" s="77" t="s">
        <v>128</v>
      </c>
      <c r="W5" s="76" t="s">
        <v>148</v>
      </c>
      <c r="AC5" s="76" t="s">
        <v>46</v>
      </c>
      <c r="AF5" s="77" t="s">
        <v>157</v>
      </c>
      <c r="AG5" s="76" t="s">
        <v>172</v>
      </c>
      <c r="AH5" s="76" t="s">
        <v>134</v>
      </c>
      <c r="AI5" s="76" t="s">
        <v>161</v>
      </c>
      <c r="AJ5" s="76" t="s">
        <v>177</v>
      </c>
      <c r="AL5" s="76" t="s">
        <v>99</v>
      </c>
    </row>
    <row r="6" spans="1:39">
      <c r="A6" s="85" t="s">
        <v>8</v>
      </c>
      <c r="B6" s="85" t="s">
        <v>197</v>
      </c>
      <c r="C6" s="85" t="s">
        <v>241</v>
      </c>
      <c r="E6" s="78"/>
      <c r="F6" s="78"/>
      <c r="G6" s="78"/>
      <c r="H6" s="78"/>
      <c r="I6" s="78"/>
      <c r="J6" s="78"/>
      <c r="K6" s="76" t="s">
        <v>36</v>
      </c>
      <c r="L6" s="78"/>
      <c r="M6" s="78"/>
      <c r="N6" s="78"/>
      <c r="O6" s="76" t="s">
        <v>140</v>
      </c>
      <c r="P6" s="79"/>
      <c r="S6" s="77" t="s">
        <v>145</v>
      </c>
      <c r="T6" s="76" t="s">
        <v>165</v>
      </c>
      <c r="W6" s="76" t="s">
        <v>149</v>
      </c>
      <c r="AG6" s="76" t="s">
        <v>173</v>
      </c>
      <c r="AH6" s="76" t="s">
        <v>135</v>
      </c>
      <c r="AI6" s="77" t="s">
        <v>84</v>
      </c>
      <c r="AJ6" s="76" t="s">
        <v>86</v>
      </c>
      <c r="AL6" s="77" t="s">
        <v>91</v>
      </c>
    </row>
    <row r="7" spans="1:39">
      <c r="A7" s="85" t="s">
        <v>9</v>
      </c>
      <c r="B7" s="85" t="s">
        <v>198</v>
      </c>
      <c r="C7" s="85" t="s">
        <v>242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80"/>
      <c r="P7" s="79"/>
      <c r="S7" s="77" t="s">
        <v>146</v>
      </c>
      <c r="T7" s="76" t="s">
        <v>166</v>
      </c>
      <c r="W7" s="76" t="s">
        <v>150</v>
      </c>
      <c r="AH7" s="76" t="s">
        <v>136</v>
      </c>
      <c r="AI7" s="76" t="s">
        <v>93</v>
      </c>
      <c r="AJ7" s="76" t="s">
        <v>96</v>
      </c>
      <c r="AL7" s="76" t="s">
        <v>100</v>
      </c>
    </row>
    <row r="8" spans="1:39">
      <c r="A8" s="85" t="s">
        <v>10</v>
      </c>
      <c r="B8" s="85" t="s">
        <v>199</v>
      </c>
      <c r="C8" s="85" t="s">
        <v>242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80"/>
      <c r="P8" s="78"/>
      <c r="S8" s="77" t="s">
        <v>147</v>
      </c>
      <c r="W8" s="76" t="s">
        <v>151</v>
      </c>
      <c r="AH8" s="76" t="s">
        <v>137</v>
      </c>
      <c r="AI8" s="77" t="s">
        <v>85</v>
      </c>
      <c r="AJ8" s="76" t="s">
        <v>87</v>
      </c>
    </row>
    <row r="9" spans="1:39">
      <c r="A9" s="85" t="s">
        <v>189</v>
      </c>
      <c r="B9" s="85" t="s">
        <v>200</v>
      </c>
      <c r="C9" s="85" t="s">
        <v>242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9"/>
      <c r="P9" s="78"/>
      <c r="S9" s="76" t="s">
        <v>80</v>
      </c>
      <c r="W9" s="76" t="s">
        <v>152</v>
      </c>
      <c r="AH9" s="76" t="s">
        <v>92</v>
      </c>
      <c r="AI9" s="76" t="s">
        <v>94</v>
      </c>
      <c r="AJ9" s="76" t="s">
        <v>97</v>
      </c>
    </row>
    <row r="10" spans="1:39">
      <c r="A10" s="85" t="s">
        <v>103</v>
      </c>
      <c r="B10" s="85" t="s">
        <v>201</v>
      </c>
      <c r="C10" s="85" t="s">
        <v>242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9"/>
      <c r="P10" s="78"/>
      <c r="S10" s="76" t="s">
        <v>45</v>
      </c>
      <c r="AH10" s="76" t="s">
        <v>49</v>
      </c>
      <c r="AI10" s="77" t="s">
        <v>179</v>
      </c>
      <c r="AJ10" s="76" t="s">
        <v>51</v>
      </c>
    </row>
    <row r="11" spans="1:39">
      <c r="A11" s="85" t="s">
        <v>191</v>
      </c>
      <c r="B11" s="85" t="s">
        <v>102</v>
      </c>
      <c r="C11" s="85" t="s">
        <v>242</v>
      </c>
      <c r="AI11" s="76" t="s">
        <v>180</v>
      </c>
    </row>
    <row r="12" spans="1:39">
      <c r="AI12" s="77" t="s">
        <v>181</v>
      </c>
    </row>
    <row r="13" spans="1:39">
      <c r="D13" s="83" t="s">
        <v>237</v>
      </c>
      <c r="E13" s="83" t="s">
        <v>263</v>
      </c>
      <c r="F13" s="83" t="s">
        <v>238</v>
      </c>
      <c r="G13" s="83" t="s">
        <v>239</v>
      </c>
      <c r="J13" s="145" t="s">
        <v>247</v>
      </c>
      <c r="K13" s="146" t="s">
        <v>245</v>
      </c>
      <c r="AI13" s="76" t="s">
        <v>182</v>
      </c>
    </row>
    <row r="14" spans="1:39">
      <c r="D14" s="81" t="s">
        <v>27</v>
      </c>
      <c r="E14" s="83">
        <v>4</v>
      </c>
      <c r="F14" s="83">
        <v>3</v>
      </c>
      <c r="G14" s="83">
        <v>4</v>
      </c>
      <c r="J14" s="145" t="s">
        <v>248</v>
      </c>
      <c r="K14" s="146" t="s">
        <v>256</v>
      </c>
      <c r="AI14" s="77" t="s">
        <v>183</v>
      </c>
    </row>
    <row r="15" spans="1:39">
      <c r="D15" s="81" t="s">
        <v>31</v>
      </c>
      <c r="E15" s="83">
        <v>4</v>
      </c>
      <c r="F15" s="83">
        <v>3</v>
      </c>
      <c r="G15" s="83">
        <v>4</v>
      </c>
      <c r="J15" s="145" t="s">
        <v>249</v>
      </c>
      <c r="K15" s="146" t="s">
        <v>257</v>
      </c>
      <c r="AI15" s="76" t="s">
        <v>184</v>
      </c>
    </row>
    <row r="16" spans="1:39">
      <c r="D16" s="81" t="s">
        <v>28</v>
      </c>
      <c r="E16" s="83">
        <v>4</v>
      </c>
      <c r="F16" s="83">
        <v>3</v>
      </c>
      <c r="G16" s="83">
        <v>4</v>
      </c>
      <c r="J16" s="145" t="s">
        <v>250</v>
      </c>
      <c r="K16" s="146" t="s">
        <v>258</v>
      </c>
      <c r="AI16" s="77" t="s">
        <v>185</v>
      </c>
    </row>
    <row r="17" spans="4:35">
      <c r="D17" s="81" t="s">
        <v>34</v>
      </c>
      <c r="E17" s="83">
        <v>4</v>
      </c>
      <c r="F17" s="83">
        <v>3</v>
      </c>
      <c r="G17" s="83">
        <v>4</v>
      </c>
      <c r="J17" s="145" t="s">
        <v>251</v>
      </c>
      <c r="AI17" s="76" t="s">
        <v>95</v>
      </c>
    </row>
    <row r="18" spans="4:35">
      <c r="D18" s="81" t="s">
        <v>38</v>
      </c>
      <c r="E18" s="83">
        <v>4</v>
      </c>
      <c r="F18" s="83">
        <v>3</v>
      </c>
      <c r="G18" s="83">
        <v>4</v>
      </c>
      <c r="J18" s="145" t="s">
        <v>252</v>
      </c>
      <c r="K18" s="182"/>
      <c r="AI18" s="76" t="s">
        <v>50</v>
      </c>
    </row>
    <row r="19" spans="4:35">
      <c r="D19" s="81" t="s">
        <v>39</v>
      </c>
      <c r="E19" s="83">
        <v>4</v>
      </c>
      <c r="F19" s="83">
        <v>3</v>
      </c>
      <c r="G19" s="83">
        <v>4</v>
      </c>
      <c r="J19" s="145" t="s">
        <v>253</v>
      </c>
      <c r="K19" s="182"/>
    </row>
    <row r="20" spans="4:35">
      <c r="D20" s="81" t="s">
        <v>29</v>
      </c>
      <c r="E20" s="83">
        <v>4</v>
      </c>
      <c r="F20" s="83">
        <v>3</v>
      </c>
      <c r="G20" s="83">
        <v>4</v>
      </c>
      <c r="J20" s="145" t="s">
        <v>254</v>
      </c>
      <c r="K20" s="182"/>
    </row>
    <row r="21" spans="4:35">
      <c r="D21" s="81" t="s">
        <v>40</v>
      </c>
      <c r="E21" s="83">
        <v>4</v>
      </c>
      <c r="F21" s="83">
        <v>3</v>
      </c>
      <c r="G21" s="83">
        <v>4</v>
      </c>
      <c r="J21" s="145" t="s">
        <v>255</v>
      </c>
      <c r="K21" s="182"/>
    </row>
    <row r="22" spans="4:35">
      <c r="D22" s="81" t="s">
        <v>43</v>
      </c>
      <c r="E22" s="83">
        <v>4</v>
      </c>
      <c r="F22" s="83">
        <v>3</v>
      </c>
      <c r="G22" s="83">
        <v>4</v>
      </c>
      <c r="J22" s="145"/>
      <c r="K22" s="183"/>
    </row>
    <row r="23" spans="4:35">
      <c r="D23" s="81" t="s">
        <v>44</v>
      </c>
      <c r="E23" s="83">
        <v>4</v>
      </c>
      <c r="F23" s="83">
        <v>3</v>
      </c>
      <c r="G23" s="83">
        <v>4</v>
      </c>
    </row>
    <row r="24" spans="4:35">
      <c r="D24" s="81" t="s">
        <v>114</v>
      </c>
      <c r="E24" s="83">
        <v>3</v>
      </c>
      <c r="F24" s="83">
        <v>3</v>
      </c>
      <c r="G24" s="83">
        <v>3</v>
      </c>
    </row>
    <row r="25" spans="4:35">
      <c r="D25" s="81" t="s">
        <v>115</v>
      </c>
      <c r="E25" s="83">
        <v>3</v>
      </c>
      <c r="F25" s="83">
        <v>3</v>
      </c>
      <c r="G25" s="83">
        <v>3</v>
      </c>
    </row>
    <row r="26" spans="4:35">
      <c r="D26" s="81" t="s">
        <v>116</v>
      </c>
      <c r="E26" s="83">
        <v>4</v>
      </c>
      <c r="F26" s="83">
        <v>3</v>
      </c>
      <c r="G26" s="83">
        <v>4</v>
      </c>
    </row>
    <row r="27" spans="4:35">
      <c r="D27" s="81" t="s">
        <v>117</v>
      </c>
      <c r="E27" s="83">
        <v>4</v>
      </c>
      <c r="F27" s="83">
        <v>3</v>
      </c>
      <c r="G27" s="83">
        <v>4</v>
      </c>
    </row>
    <row r="28" spans="4:35">
      <c r="D28" s="81" t="s">
        <v>118</v>
      </c>
      <c r="E28" s="83">
        <v>4</v>
      </c>
      <c r="F28" s="83">
        <v>3</v>
      </c>
      <c r="G28" s="83">
        <v>4</v>
      </c>
    </row>
    <row r="29" spans="4:35">
      <c r="D29" s="81" t="s">
        <v>119</v>
      </c>
      <c r="E29" s="83">
        <v>4</v>
      </c>
      <c r="F29" s="83">
        <v>3</v>
      </c>
      <c r="G29" s="83">
        <v>4</v>
      </c>
    </row>
    <row r="30" spans="4:35">
      <c r="D30" s="81" t="s">
        <v>120</v>
      </c>
      <c r="E30" s="83">
        <v>1</v>
      </c>
      <c r="F30" s="83">
        <v>1</v>
      </c>
      <c r="G30" s="83">
        <v>1</v>
      </c>
    </row>
    <row r="31" spans="4:35">
      <c r="D31" s="81" t="s">
        <v>121</v>
      </c>
      <c r="E31" s="83">
        <v>1</v>
      </c>
      <c r="F31" s="83">
        <v>1</v>
      </c>
      <c r="G31" s="83">
        <v>1</v>
      </c>
    </row>
    <row r="32" spans="4:35">
      <c r="D32" s="81" t="s">
        <v>56</v>
      </c>
      <c r="E32" s="83">
        <v>4</v>
      </c>
      <c r="F32" s="83">
        <v>3</v>
      </c>
      <c r="G32" s="83">
        <v>5</v>
      </c>
    </row>
    <row r="33" spans="4:7">
      <c r="D33" s="81" t="s">
        <v>57</v>
      </c>
      <c r="E33" s="83">
        <v>4</v>
      </c>
      <c r="F33" s="83">
        <v>3</v>
      </c>
      <c r="G33" s="83">
        <v>5</v>
      </c>
    </row>
    <row r="34" spans="4:7">
      <c r="D34" s="81" t="s">
        <v>30</v>
      </c>
      <c r="E34" s="83">
        <v>4</v>
      </c>
      <c r="F34" s="83">
        <v>3</v>
      </c>
      <c r="G34" s="83">
        <v>5</v>
      </c>
    </row>
    <row r="35" spans="4:7">
      <c r="D35" s="81" t="s">
        <v>54</v>
      </c>
      <c r="E35" s="83">
        <v>4</v>
      </c>
      <c r="F35" s="83">
        <v>3</v>
      </c>
      <c r="G35" s="83">
        <v>5</v>
      </c>
    </row>
    <row r="36" spans="4:7">
      <c r="D36" s="81" t="s">
        <v>53</v>
      </c>
      <c r="E36" s="83">
        <v>4</v>
      </c>
      <c r="F36" s="83">
        <v>3</v>
      </c>
      <c r="G36" s="83">
        <v>5</v>
      </c>
    </row>
    <row r="37" spans="4:7">
      <c r="D37" s="81" t="s">
        <v>35</v>
      </c>
      <c r="E37" s="83">
        <v>4</v>
      </c>
      <c r="F37" s="83">
        <v>3</v>
      </c>
      <c r="G37" s="83">
        <v>5</v>
      </c>
    </row>
    <row r="38" spans="4:7">
      <c r="D38" s="81" t="s">
        <v>55</v>
      </c>
      <c r="E38" s="83">
        <v>4</v>
      </c>
      <c r="F38" s="83">
        <v>3</v>
      </c>
      <c r="G38" s="83">
        <v>5</v>
      </c>
    </row>
    <row r="39" spans="4:7">
      <c r="D39" s="82" t="s">
        <v>78</v>
      </c>
      <c r="E39" s="83">
        <v>4</v>
      </c>
      <c r="F39" s="83">
        <v>3</v>
      </c>
      <c r="G39" s="83">
        <v>5</v>
      </c>
    </row>
    <row r="40" spans="4:7">
      <c r="D40" s="81" t="s">
        <v>41</v>
      </c>
      <c r="E40" s="83">
        <v>4</v>
      </c>
      <c r="F40" s="83">
        <v>3</v>
      </c>
      <c r="G40" s="83">
        <v>5</v>
      </c>
    </row>
    <row r="41" spans="4:7">
      <c r="D41" s="81" t="s">
        <v>65</v>
      </c>
      <c r="E41" s="83">
        <v>4</v>
      </c>
      <c r="F41" s="83">
        <v>3</v>
      </c>
      <c r="G41" s="83">
        <v>5</v>
      </c>
    </row>
    <row r="42" spans="4:7">
      <c r="D42" s="81" t="s">
        <v>122</v>
      </c>
      <c r="E42" s="83">
        <v>4</v>
      </c>
      <c r="F42" s="83">
        <v>3</v>
      </c>
      <c r="G42" s="83">
        <v>5</v>
      </c>
    </row>
    <row r="43" spans="4:7">
      <c r="D43" s="81" t="s">
        <v>123</v>
      </c>
      <c r="E43" s="83">
        <v>4</v>
      </c>
      <c r="F43" s="83">
        <v>3</v>
      </c>
      <c r="G43" s="83">
        <v>5</v>
      </c>
    </row>
    <row r="44" spans="4:7">
      <c r="D44" s="81" t="s">
        <v>124</v>
      </c>
      <c r="E44" s="83">
        <v>4</v>
      </c>
      <c r="F44" s="83">
        <v>3</v>
      </c>
      <c r="G44" s="83">
        <v>5</v>
      </c>
    </row>
    <row r="45" spans="4:7">
      <c r="D45" s="81" t="s">
        <v>125</v>
      </c>
      <c r="E45" s="83">
        <v>4</v>
      </c>
      <c r="F45" s="83">
        <v>3</v>
      </c>
      <c r="G45" s="83">
        <v>5</v>
      </c>
    </row>
    <row r="46" spans="4:7">
      <c r="D46" s="82" t="s">
        <v>126</v>
      </c>
      <c r="E46" s="83">
        <v>4</v>
      </c>
      <c r="F46" s="83">
        <v>3</v>
      </c>
      <c r="G46" s="83">
        <v>5</v>
      </c>
    </row>
    <row r="47" spans="4:7">
      <c r="D47" s="81" t="s">
        <v>127</v>
      </c>
      <c r="E47" s="83">
        <v>4</v>
      </c>
      <c r="F47" s="83">
        <v>3</v>
      </c>
      <c r="G47" s="83">
        <v>5</v>
      </c>
    </row>
    <row r="48" spans="4:7">
      <c r="D48" s="82" t="s">
        <v>128</v>
      </c>
      <c r="E48" s="83">
        <v>4</v>
      </c>
      <c r="F48" s="83">
        <v>3</v>
      </c>
      <c r="G48" s="83">
        <v>5</v>
      </c>
    </row>
    <row r="49" spans="4:7">
      <c r="D49" s="82" t="s">
        <v>129</v>
      </c>
      <c r="E49" s="83">
        <v>3</v>
      </c>
      <c r="F49" s="83">
        <v>2</v>
      </c>
      <c r="G49" s="83">
        <v>4</v>
      </c>
    </row>
    <row r="50" spans="4:7">
      <c r="D50" s="82" t="s">
        <v>130</v>
      </c>
      <c r="E50" s="83">
        <v>3</v>
      </c>
      <c r="F50" s="83">
        <v>2</v>
      </c>
      <c r="G50" s="83">
        <v>4</v>
      </c>
    </row>
    <row r="51" spans="4:7">
      <c r="D51" s="81" t="s">
        <v>131</v>
      </c>
      <c r="E51" s="83">
        <v>3</v>
      </c>
      <c r="F51" s="83">
        <v>2</v>
      </c>
      <c r="G51" s="83">
        <v>4</v>
      </c>
    </row>
    <row r="52" spans="4:7">
      <c r="D52" s="81" t="s">
        <v>81</v>
      </c>
      <c r="E52" s="83">
        <v>3</v>
      </c>
      <c r="F52" s="83">
        <v>2</v>
      </c>
      <c r="G52" s="83">
        <v>4</v>
      </c>
    </row>
    <row r="53" spans="4:7">
      <c r="D53" s="81" t="s">
        <v>82</v>
      </c>
      <c r="E53" s="83">
        <v>3</v>
      </c>
      <c r="F53" s="83">
        <v>2</v>
      </c>
      <c r="G53" s="83">
        <v>4</v>
      </c>
    </row>
    <row r="54" spans="4:7">
      <c r="D54" s="81" t="s">
        <v>112</v>
      </c>
      <c r="E54" s="83">
        <v>4</v>
      </c>
      <c r="F54" s="83">
        <v>3</v>
      </c>
      <c r="G54" s="83">
        <v>5</v>
      </c>
    </row>
    <row r="55" spans="4:7">
      <c r="D55" s="81" t="s">
        <v>48</v>
      </c>
      <c r="E55" s="83">
        <v>4</v>
      </c>
      <c r="F55" s="83">
        <v>3</v>
      </c>
      <c r="G55" s="83">
        <v>5</v>
      </c>
    </row>
    <row r="56" spans="4:7">
      <c r="D56" s="81" t="s">
        <v>83</v>
      </c>
      <c r="E56" s="83">
        <v>4</v>
      </c>
      <c r="F56" s="83">
        <v>3</v>
      </c>
      <c r="G56" s="83">
        <v>5</v>
      </c>
    </row>
    <row r="57" spans="4:7">
      <c r="D57" s="81" t="s">
        <v>132</v>
      </c>
      <c r="E57" s="83">
        <v>4</v>
      </c>
      <c r="F57" s="83">
        <v>3</v>
      </c>
      <c r="G57" s="83">
        <v>5</v>
      </c>
    </row>
    <row r="58" spans="4:7">
      <c r="D58" s="81" t="s">
        <v>133</v>
      </c>
      <c r="E58" s="83">
        <v>4</v>
      </c>
      <c r="F58" s="83">
        <v>3</v>
      </c>
      <c r="G58" s="83">
        <v>5</v>
      </c>
    </row>
    <row r="59" spans="4:7">
      <c r="D59" s="81" t="s">
        <v>134</v>
      </c>
      <c r="E59" s="83">
        <v>4</v>
      </c>
      <c r="F59" s="83">
        <v>3</v>
      </c>
      <c r="G59" s="83">
        <v>5</v>
      </c>
    </row>
    <row r="60" spans="4:7">
      <c r="D60" s="81" t="s">
        <v>135</v>
      </c>
      <c r="E60" s="83">
        <v>4</v>
      </c>
      <c r="F60" s="83">
        <v>3</v>
      </c>
      <c r="G60" s="83">
        <v>5</v>
      </c>
    </row>
    <row r="61" spans="4:7">
      <c r="D61" s="81" t="s">
        <v>136</v>
      </c>
      <c r="E61" s="83">
        <v>4</v>
      </c>
      <c r="F61" s="83">
        <v>3</v>
      </c>
      <c r="G61" s="83">
        <v>5</v>
      </c>
    </row>
    <row r="62" spans="4:7">
      <c r="D62" s="81" t="s">
        <v>137</v>
      </c>
      <c r="E62" s="83">
        <v>4</v>
      </c>
      <c r="F62" s="83">
        <v>3</v>
      </c>
      <c r="G62" s="83">
        <v>5</v>
      </c>
    </row>
    <row r="63" spans="4:7">
      <c r="D63" s="81" t="s">
        <v>92</v>
      </c>
      <c r="E63" s="83">
        <v>4</v>
      </c>
      <c r="F63" s="83">
        <v>3</v>
      </c>
      <c r="G63" s="83">
        <v>5</v>
      </c>
    </row>
    <row r="64" spans="4:7">
      <c r="D64" s="81" t="s">
        <v>49</v>
      </c>
      <c r="E64" s="83">
        <v>4</v>
      </c>
      <c r="F64" s="83">
        <v>3</v>
      </c>
      <c r="G64" s="83">
        <v>5</v>
      </c>
    </row>
    <row r="65" spans="4:7">
      <c r="D65" s="81" t="s">
        <v>76</v>
      </c>
      <c r="E65" s="83">
        <v>3</v>
      </c>
      <c r="F65" s="83">
        <v>2</v>
      </c>
      <c r="G65" s="83">
        <v>4</v>
      </c>
    </row>
    <row r="66" spans="4:7">
      <c r="D66" s="81" t="s">
        <v>52</v>
      </c>
      <c r="E66" s="83">
        <v>3</v>
      </c>
      <c r="F66" s="83">
        <v>2</v>
      </c>
      <c r="G66" s="83">
        <v>4</v>
      </c>
    </row>
    <row r="67" spans="4:7">
      <c r="D67" s="81" t="s">
        <v>58</v>
      </c>
      <c r="E67" s="83">
        <v>4</v>
      </c>
      <c r="F67" s="83">
        <v>3</v>
      </c>
      <c r="G67" s="83">
        <v>5</v>
      </c>
    </row>
    <row r="68" spans="4:7">
      <c r="D68" s="81" t="s">
        <v>77</v>
      </c>
      <c r="E68" s="83">
        <v>4</v>
      </c>
      <c r="F68" s="83">
        <v>3</v>
      </c>
      <c r="G68" s="83">
        <v>5</v>
      </c>
    </row>
    <row r="69" spans="4:7">
      <c r="D69" s="81" t="s">
        <v>32</v>
      </c>
      <c r="E69" s="83">
        <v>4</v>
      </c>
      <c r="F69" s="83">
        <v>3</v>
      </c>
      <c r="G69" s="83">
        <v>5</v>
      </c>
    </row>
    <row r="70" spans="4:7">
      <c r="D70" s="81" t="s">
        <v>105</v>
      </c>
      <c r="E70" s="83">
        <v>4</v>
      </c>
      <c r="F70" s="83">
        <v>3</v>
      </c>
      <c r="G70" s="83">
        <v>5</v>
      </c>
    </row>
    <row r="71" spans="4:7">
      <c r="D71" s="81" t="s">
        <v>106</v>
      </c>
      <c r="E71" s="83">
        <v>4</v>
      </c>
      <c r="F71" s="83">
        <v>3</v>
      </c>
      <c r="G71" s="83">
        <v>5</v>
      </c>
    </row>
    <row r="72" spans="4:7">
      <c r="D72" s="81" t="s">
        <v>108</v>
      </c>
      <c r="E72" s="83">
        <v>4</v>
      </c>
      <c r="F72" s="83">
        <v>3</v>
      </c>
      <c r="G72" s="83">
        <v>5</v>
      </c>
    </row>
    <row r="73" spans="4:7">
      <c r="D73" s="81" t="s">
        <v>107</v>
      </c>
      <c r="E73" s="83">
        <v>4</v>
      </c>
      <c r="F73" s="83">
        <v>3</v>
      </c>
      <c r="G73" s="83">
        <v>5</v>
      </c>
    </row>
    <row r="74" spans="4:7">
      <c r="D74" s="81" t="s">
        <v>36</v>
      </c>
      <c r="E74" s="83">
        <v>4</v>
      </c>
      <c r="F74" s="83">
        <v>3</v>
      </c>
      <c r="G74" s="83">
        <v>5</v>
      </c>
    </row>
    <row r="75" spans="4:7">
      <c r="D75" s="81" t="s">
        <v>101</v>
      </c>
      <c r="E75" s="83">
        <v>4</v>
      </c>
      <c r="F75" s="83">
        <v>3</v>
      </c>
      <c r="G75" s="83">
        <v>5</v>
      </c>
    </row>
    <row r="76" spans="4:7">
      <c r="D76" s="82" t="s">
        <v>79</v>
      </c>
      <c r="E76" s="83">
        <v>4</v>
      </c>
      <c r="F76" s="83">
        <v>3</v>
      </c>
      <c r="G76" s="83">
        <v>5</v>
      </c>
    </row>
    <row r="77" spans="4:7">
      <c r="D77" s="82" t="s">
        <v>138</v>
      </c>
      <c r="E77" s="83">
        <v>4</v>
      </c>
      <c r="F77" s="83">
        <v>3</v>
      </c>
      <c r="G77" s="83">
        <v>5</v>
      </c>
    </row>
    <row r="78" spans="4:7">
      <c r="D78" s="81" t="s">
        <v>139</v>
      </c>
      <c r="E78" s="83">
        <v>4</v>
      </c>
      <c r="F78" s="83">
        <v>3</v>
      </c>
      <c r="G78" s="83">
        <v>5</v>
      </c>
    </row>
    <row r="79" spans="4:7">
      <c r="D79" s="81" t="s">
        <v>140</v>
      </c>
      <c r="E79" s="83">
        <v>4</v>
      </c>
      <c r="F79" s="83">
        <v>3</v>
      </c>
      <c r="G79" s="83">
        <v>5</v>
      </c>
    </row>
    <row r="80" spans="4:7">
      <c r="D80" s="82" t="s">
        <v>141</v>
      </c>
      <c r="E80" s="83">
        <v>4</v>
      </c>
      <c r="F80" s="83">
        <v>3</v>
      </c>
      <c r="G80" s="83">
        <v>5</v>
      </c>
    </row>
    <row r="81" spans="4:7">
      <c r="D81" s="81" t="s">
        <v>142</v>
      </c>
      <c r="E81" s="83">
        <v>4</v>
      </c>
      <c r="F81" s="83">
        <v>3</v>
      </c>
      <c r="G81" s="83">
        <v>5</v>
      </c>
    </row>
    <row r="82" spans="4:7">
      <c r="D82" s="81" t="s">
        <v>143</v>
      </c>
      <c r="E82" s="83">
        <v>4</v>
      </c>
      <c r="F82" s="83">
        <v>3</v>
      </c>
      <c r="G82" s="83">
        <v>5</v>
      </c>
    </row>
    <row r="83" spans="4:7">
      <c r="D83" s="81" t="s">
        <v>144</v>
      </c>
      <c r="E83" s="83">
        <v>4</v>
      </c>
      <c r="F83" s="83">
        <v>3</v>
      </c>
      <c r="G83" s="83">
        <v>5</v>
      </c>
    </row>
    <row r="84" spans="4:7">
      <c r="D84" s="82" t="s">
        <v>145</v>
      </c>
      <c r="E84" s="83">
        <v>4</v>
      </c>
      <c r="F84" s="83">
        <v>3</v>
      </c>
      <c r="G84" s="83">
        <v>5</v>
      </c>
    </row>
    <row r="85" spans="4:7">
      <c r="D85" s="82" t="s">
        <v>146</v>
      </c>
      <c r="E85" s="83">
        <v>4</v>
      </c>
      <c r="F85" s="83">
        <v>3</v>
      </c>
      <c r="G85" s="83">
        <v>5</v>
      </c>
    </row>
    <row r="86" spans="4:7">
      <c r="D86" s="82" t="s">
        <v>147</v>
      </c>
      <c r="E86" s="83">
        <v>4</v>
      </c>
      <c r="F86" s="83">
        <v>3</v>
      </c>
      <c r="G86" s="83">
        <v>5</v>
      </c>
    </row>
    <row r="87" spans="4:7">
      <c r="D87" s="81" t="s">
        <v>80</v>
      </c>
      <c r="E87" s="83">
        <v>4</v>
      </c>
      <c r="F87" s="83">
        <v>3</v>
      </c>
      <c r="G87" s="83">
        <v>5</v>
      </c>
    </row>
    <row r="88" spans="4:7">
      <c r="D88" s="81" t="s">
        <v>45</v>
      </c>
      <c r="E88" s="83">
        <v>4</v>
      </c>
      <c r="F88" s="83">
        <v>3</v>
      </c>
      <c r="G88" s="83">
        <v>5</v>
      </c>
    </row>
    <row r="89" spans="4:7">
      <c r="D89" s="81" t="s">
        <v>67</v>
      </c>
      <c r="E89" s="83">
        <v>4</v>
      </c>
      <c r="F89" s="83">
        <v>3</v>
      </c>
      <c r="G89" s="83">
        <v>5</v>
      </c>
    </row>
    <row r="90" spans="4:7">
      <c r="D90" s="81" t="s">
        <v>68</v>
      </c>
      <c r="E90" s="83">
        <v>4</v>
      </c>
      <c r="F90" s="83">
        <v>3</v>
      </c>
      <c r="G90" s="83">
        <v>5</v>
      </c>
    </row>
    <row r="91" spans="4:7">
      <c r="D91" s="81" t="s">
        <v>69</v>
      </c>
      <c r="E91" s="83">
        <v>4</v>
      </c>
      <c r="F91" s="83">
        <v>3</v>
      </c>
      <c r="G91" s="83">
        <v>5</v>
      </c>
    </row>
    <row r="92" spans="4:7">
      <c r="D92" s="81" t="s">
        <v>148</v>
      </c>
      <c r="E92" s="83">
        <v>4</v>
      </c>
      <c r="F92" s="83">
        <v>3</v>
      </c>
      <c r="G92" s="83">
        <v>5</v>
      </c>
    </row>
    <row r="93" spans="4:7">
      <c r="D93" s="81" t="s">
        <v>149</v>
      </c>
      <c r="E93" s="83">
        <v>4</v>
      </c>
      <c r="F93" s="83">
        <v>3</v>
      </c>
      <c r="G93" s="83">
        <v>5</v>
      </c>
    </row>
    <row r="94" spans="4:7">
      <c r="D94" s="81" t="s">
        <v>150</v>
      </c>
      <c r="E94" s="83">
        <v>4</v>
      </c>
      <c r="F94" s="83">
        <v>3</v>
      </c>
      <c r="G94" s="83">
        <v>5</v>
      </c>
    </row>
    <row r="95" spans="4:7">
      <c r="D95" s="81" t="s">
        <v>151</v>
      </c>
      <c r="E95" s="83">
        <v>4</v>
      </c>
      <c r="F95" s="83">
        <v>3</v>
      </c>
      <c r="G95" s="83">
        <v>5</v>
      </c>
    </row>
    <row r="96" spans="4:7">
      <c r="D96" s="81" t="s">
        <v>152</v>
      </c>
      <c r="E96" s="83">
        <v>4</v>
      </c>
      <c r="F96" s="83">
        <v>3</v>
      </c>
      <c r="G96" s="83">
        <v>5</v>
      </c>
    </row>
    <row r="97" spans="4:7">
      <c r="D97" s="81" t="s">
        <v>153</v>
      </c>
      <c r="E97" s="83">
        <v>3</v>
      </c>
      <c r="F97" s="83">
        <v>2</v>
      </c>
      <c r="G97" s="83">
        <v>4</v>
      </c>
    </row>
    <row r="98" spans="4:7">
      <c r="D98" s="81" t="s">
        <v>109</v>
      </c>
      <c r="E98" s="84">
        <v>2</v>
      </c>
      <c r="F98" s="84">
        <v>1</v>
      </c>
      <c r="G98" s="84">
        <v>2</v>
      </c>
    </row>
    <row r="99" spans="4:7">
      <c r="D99" s="81" t="s">
        <v>110</v>
      </c>
      <c r="E99" s="84">
        <v>2</v>
      </c>
      <c r="F99" s="84">
        <v>1</v>
      </c>
      <c r="G99" s="84">
        <v>2</v>
      </c>
    </row>
    <row r="100" spans="4:7">
      <c r="D100" s="81" t="s">
        <v>70</v>
      </c>
      <c r="E100" s="83">
        <v>3</v>
      </c>
      <c r="F100" s="83">
        <v>2</v>
      </c>
      <c r="G100" s="83">
        <v>4</v>
      </c>
    </row>
    <row r="101" spans="4:7">
      <c r="D101" s="81" t="s">
        <v>72</v>
      </c>
      <c r="E101" s="83">
        <v>3</v>
      </c>
      <c r="F101" s="83">
        <v>2</v>
      </c>
      <c r="G101" s="83">
        <v>4</v>
      </c>
    </row>
    <row r="102" spans="4:7">
      <c r="D102" s="81" t="s">
        <v>73</v>
      </c>
      <c r="E102" s="83">
        <v>3</v>
      </c>
      <c r="F102" s="83">
        <v>2</v>
      </c>
      <c r="G102" s="83">
        <v>4</v>
      </c>
    </row>
    <row r="103" spans="4:7">
      <c r="D103" s="81" t="s">
        <v>46</v>
      </c>
      <c r="E103" s="83">
        <v>3</v>
      </c>
      <c r="F103" s="83">
        <v>2</v>
      </c>
      <c r="G103" s="83">
        <v>4</v>
      </c>
    </row>
    <row r="104" spans="4:7">
      <c r="D104" s="81" t="s">
        <v>154</v>
      </c>
      <c r="E104" s="83">
        <v>4</v>
      </c>
      <c r="F104" s="83">
        <v>3</v>
      </c>
      <c r="G104" s="83">
        <v>5</v>
      </c>
    </row>
    <row r="105" spans="4:7">
      <c r="D105" s="81" t="s">
        <v>155</v>
      </c>
      <c r="E105" s="83">
        <v>4</v>
      </c>
      <c r="F105" s="83">
        <v>3</v>
      </c>
      <c r="G105" s="83">
        <v>5</v>
      </c>
    </row>
    <row r="106" spans="4:7">
      <c r="D106" s="82" t="s">
        <v>156</v>
      </c>
      <c r="E106" s="83">
        <v>4</v>
      </c>
      <c r="F106" s="83">
        <v>3</v>
      </c>
      <c r="G106" s="83">
        <v>5</v>
      </c>
    </row>
    <row r="107" spans="4:7">
      <c r="D107" s="82" t="s">
        <v>157</v>
      </c>
      <c r="E107" s="83">
        <v>4</v>
      </c>
      <c r="F107" s="83">
        <v>3</v>
      </c>
      <c r="G107" s="83">
        <v>5</v>
      </c>
    </row>
    <row r="108" spans="4:7">
      <c r="D108" s="82" t="s">
        <v>158</v>
      </c>
      <c r="E108" s="83">
        <v>4</v>
      </c>
      <c r="F108" s="83">
        <v>3</v>
      </c>
      <c r="G108" s="83">
        <v>5</v>
      </c>
    </row>
    <row r="109" spans="4:7">
      <c r="D109" s="81" t="s">
        <v>159</v>
      </c>
      <c r="E109" s="83">
        <v>4</v>
      </c>
      <c r="F109" s="83">
        <v>3</v>
      </c>
      <c r="G109" s="83">
        <v>5</v>
      </c>
    </row>
    <row r="110" spans="4:7">
      <c r="D110" s="82" t="s">
        <v>160</v>
      </c>
      <c r="E110" s="83">
        <v>4</v>
      </c>
      <c r="F110" s="83">
        <v>3</v>
      </c>
      <c r="G110" s="83">
        <v>5</v>
      </c>
    </row>
    <row r="111" spans="4:7">
      <c r="D111" s="81" t="s">
        <v>161</v>
      </c>
      <c r="E111" s="83">
        <v>4</v>
      </c>
      <c r="F111" s="83">
        <v>3</v>
      </c>
      <c r="G111" s="83">
        <v>5</v>
      </c>
    </row>
    <row r="112" spans="4:7">
      <c r="D112" s="82" t="s">
        <v>84</v>
      </c>
      <c r="E112" s="83">
        <v>4</v>
      </c>
      <c r="F112" s="83">
        <v>3</v>
      </c>
      <c r="G112" s="83">
        <v>5</v>
      </c>
    </row>
    <row r="113" spans="4:7">
      <c r="D113" s="81" t="s">
        <v>93</v>
      </c>
      <c r="E113" s="83">
        <v>4</v>
      </c>
      <c r="F113" s="83">
        <v>3</v>
      </c>
      <c r="G113" s="83">
        <v>5</v>
      </c>
    </row>
    <row r="114" spans="4:7">
      <c r="D114" s="82" t="s">
        <v>85</v>
      </c>
      <c r="E114" s="83">
        <v>4</v>
      </c>
      <c r="F114" s="83">
        <v>3</v>
      </c>
      <c r="G114" s="83">
        <v>5</v>
      </c>
    </row>
    <row r="115" spans="4:7">
      <c r="D115" s="81" t="s">
        <v>94</v>
      </c>
      <c r="E115" s="83">
        <v>4</v>
      </c>
      <c r="F115" s="83">
        <v>3</v>
      </c>
      <c r="G115" s="83">
        <v>5</v>
      </c>
    </row>
    <row r="116" spans="4:7">
      <c r="D116" s="82" t="s">
        <v>179</v>
      </c>
      <c r="E116" s="83">
        <v>4</v>
      </c>
      <c r="F116" s="83">
        <v>3</v>
      </c>
      <c r="G116" s="83">
        <v>5</v>
      </c>
    </row>
    <row r="117" spans="4:7">
      <c r="D117" s="81" t="s">
        <v>180</v>
      </c>
      <c r="E117" s="83">
        <v>4</v>
      </c>
      <c r="F117" s="83">
        <v>3</v>
      </c>
      <c r="G117" s="83">
        <v>5</v>
      </c>
    </row>
    <row r="118" spans="4:7">
      <c r="D118" s="82" t="s">
        <v>181</v>
      </c>
      <c r="E118" s="83">
        <v>4</v>
      </c>
      <c r="F118" s="83">
        <v>3</v>
      </c>
      <c r="G118" s="83">
        <v>5</v>
      </c>
    </row>
    <row r="119" spans="4:7">
      <c r="D119" s="81" t="s">
        <v>182</v>
      </c>
      <c r="E119" s="83">
        <v>4</v>
      </c>
      <c r="F119" s="83">
        <v>3</v>
      </c>
      <c r="G119" s="83">
        <v>5</v>
      </c>
    </row>
    <row r="120" spans="4:7">
      <c r="D120" s="82" t="s">
        <v>183</v>
      </c>
      <c r="E120" s="83">
        <v>4</v>
      </c>
      <c r="F120" s="83">
        <v>3</v>
      </c>
      <c r="G120" s="83">
        <v>5</v>
      </c>
    </row>
    <row r="121" spans="4:7">
      <c r="D121" s="81" t="s">
        <v>184</v>
      </c>
      <c r="E121" s="83">
        <v>4</v>
      </c>
      <c r="F121" s="83">
        <v>3</v>
      </c>
      <c r="G121" s="83">
        <v>5</v>
      </c>
    </row>
    <row r="122" spans="4:7">
      <c r="D122" s="82" t="s">
        <v>185</v>
      </c>
      <c r="E122" s="83">
        <v>4</v>
      </c>
      <c r="F122" s="83">
        <v>3</v>
      </c>
      <c r="G122" s="83">
        <v>5</v>
      </c>
    </row>
    <row r="123" spans="4:7">
      <c r="D123" s="81" t="s">
        <v>95</v>
      </c>
      <c r="E123" s="83">
        <v>4</v>
      </c>
      <c r="F123" s="83">
        <v>3</v>
      </c>
      <c r="G123" s="83">
        <v>5</v>
      </c>
    </row>
    <row r="124" spans="4:7">
      <c r="D124" s="81" t="s">
        <v>50</v>
      </c>
      <c r="E124" s="83">
        <v>4</v>
      </c>
      <c r="F124" s="83">
        <v>3</v>
      </c>
      <c r="G124" s="83">
        <v>5</v>
      </c>
    </row>
    <row r="125" spans="4:7">
      <c r="D125" s="82" t="s">
        <v>88</v>
      </c>
      <c r="E125" s="83">
        <v>3</v>
      </c>
      <c r="F125" s="83">
        <v>2</v>
      </c>
      <c r="G125" s="83">
        <v>4</v>
      </c>
    </row>
    <row r="126" spans="4:7">
      <c r="D126" s="81" t="s">
        <v>98</v>
      </c>
      <c r="E126" s="83">
        <v>3</v>
      </c>
      <c r="F126" s="83">
        <v>2</v>
      </c>
      <c r="G126" s="83">
        <v>4</v>
      </c>
    </row>
    <row r="127" spans="4:7">
      <c r="D127" s="82" t="s">
        <v>89</v>
      </c>
      <c r="E127" s="83">
        <v>3</v>
      </c>
      <c r="F127" s="83">
        <v>2</v>
      </c>
      <c r="G127" s="83">
        <v>4</v>
      </c>
    </row>
    <row r="128" spans="4:7">
      <c r="D128" s="81" t="s">
        <v>99</v>
      </c>
      <c r="E128" s="83">
        <v>3</v>
      </c>
      <c r="F128" s="83">
        <v>2</v>
      </c>
      <c r="G128" s="83">
        <v>4</v>
      </c>
    </row>
    <row r="129" spans="4:7">
      <c r="D129" s="82" t="s">
        <v>91</v>
      </c>
      <c r="E129" s="83">
        <v>3</v>
      </c>
      <c r="F129" s="83">
        <v>2</v>
      </c>
      <c r="G129" s="83">
        <v>4</v>
      </c>
    </row>
    <row r="130" spans="4:7">
      <c r="D130" s="81" t="s">
        <v>100</v>
      </c>
      <c r="E130" s="83">
        <v>3</v>
      </c>
      <c r="F130" s="83">
        <v>2</v>
      </c>
      <c r="G130" s="83">
        <v>4</v>
      </c>
    </row>
    <row r="131" spans="4:7">
      <c r="D131" s="81" t="s">
        <v>59</v>
      </c>
      <c r="E131" s="83">
        <v>4</v>
      </c>
      <c r="F131" s="83">
        <v>3</v>
      </c>
      <c r="G131" s="83">
        <v>5</v>
      </c>
    </row>
    <row r="132" spans="4:7">
      <c r="D132" s="81" t="s">
        <v>60</v>
      </c>
      <c r="E132" s="83">
        <v>4</v>
      </c>
      <c r="F132" s="83">
        <v>3</v>
      </c>
      <c r="G132" s="83">
        <v>5</v>
      </c>
    </row>
    <row r="133" spans="4:7">
      <c r="D133" s="81" t="s">
        <v>33</v>
      </c>
      <c r="E133" s="83">
        <v>4</v>
      </c>
      <c r="F133" s="83">
        <v>3</v>
      </c>
      <c r="G133" s="83">
        <v>5</v>
      </c>
    </row>
    <row r="134" spans="4:7">
      <c r="D134" s="81" t="s">
        <v>61</v>
      </c>
      <c r="E134" s="83">
        <v>4</v>
      </c>
      <c r="F134" s="83">
        <v>3</v>
      </c>
      <c r="G134" s="83">
        <v>5</v>
      </c>
    </row>
    <row r="135" spans="4:7">
      <c r="D135" s="81" t="s">
        <v>62</v>
      </c>
      <c r="E135" s="83">
        <v>4</v>
      </c>
      <c r="F135" s="83">
        <v>3</v>
      </c>
      <c r="G135" s="83">
        <v>5</v>
      </c>
    </row>
    <row r="136" spans="4:7">
      <c r="D136" s="81" t="s">
        <v>37</v>
      </c>
      <c r="E136" s="83">
        <v>4</v>
      </c>
      <c r="F136" s="83">
        <v>3</v>
      </c>
      <c r="G136" s="83">
        <v>5</v>
      </c>
    </row>
    <row r="137" spans="4:7">
      <c r="D137" s="81" t="s">
        <v>63</v>
      </c>
      <c r="E137" s="83">
        <v>4</v>
      </c>
      <c r="F137" s="83">
        <v>3</v>
      </c>
      <c r="G137" s="83">
        <v>5</v>
      </c>
    </row>
    <row r="138" spans="4:7">
      <c r="D138" s="81" t="s">
        <v>64</v>
      </c>
      <c r="E138" s="83">
        <v>4</v>
      </c>
      <c r="F138" s="83">
        <v>3</v>
      </c>
      <c r="G138" s="83">
        <v>5</v>
      </c>
    </row>
    <row r="139" spans="4:7">
      <c r="D139" s="81" t="s">
        <v>42</v>
      </c>
      <c r="E139" s="83">
        <v>4</v>
      </c>
      <c r="F139" s="83">
        <v>3</v>
      </c>
      <c r="G139" s="83">
        <v>5</v>
      </c>
    </row>
    <row r="140" spans="4:7">
      <c r="D140" s="81" t="s">
        <v>66</v>
      </c>
      <c r="E140" s="83">
        <v>4</v>
      </c>
      <c r="F140" s="83">
        <v>3</v>
      </c>
      <c r="G140" s="83">
        <v>5</v>
      </c>
    </row>
    <row r="141" spans="4:7">
      <c r="D141" s="81" t="s">
        <v>162</v>
      </c>
      <c r="E141" s="83">
        <v>4</v>
      </c>
      <c r="F141" s="83">
        <v>3</v>
      </c>
      <c r="G141" s="83">
        <v>5</v>
      </c>
    </row>
    <row r="142" spans="4:7">
      <c r="D142" s="81" t="s">
        <v>163</v>
      </c>
      <c r="E142" s="83">
        <v>4</v>
      </c>
      <c r="F142" s="83">
        <v>3</v>
      </c>
      <c r="G142" s="83">
        <v>5</v>
      </c>
    </row>
    <row r="143" spans="4:7">
      <c r="D143" s="81" t="s">
        <v>164</v>
      </c>
      <c r="E143" s="83">
        <v>4</v>
      </c>
      <c r="F143" s="83">
        <v>3</v>
      </c>
      <c r="G143" s="83">
        <v>5</v>
      </c>
    </row>
    <row r="144" spans="4:7">
      <c r="D144" s="81" t="s">
        <v>165</v>
      </c>
      <c r="E144" s="83">
        <v>4</v>
      </c>
      <c r="F144" s="83">
        <v>3</v>
      </c>
      <c r="G144" s="83">
        <v>5</v>
      </c>
    </row>
    <row r="145" spans="4:7">
      <c r="D145" s="81" t="s">
        <v>166</v>
      </c>
      <c r="E145" s="83">
        <v>4</v>
      </c>
      <c r="F145" s="83">
        <v>3</v>
      </c>
      <c r="G145" s="83">
        <v>5</v>
      </c>
    </row>
    <row r="146" spans="4:7">
      <c r="D146" s="81" t="s">
        <v>167</v>
      </c>
      <c r="E146" s="83">
        <v>4</v>
      </c>
      <c r="F146" s="83">
        <v>3</v>
      </c>
      <c r="G146" s="83">
        <v>5</v>
      </c>
    </row>
    <row r="147" spans="4:7">
      <c r="D147" s="81" t="s">
        <v>168</v>
      </c>
      <c r="E147" s="83">
        <v>4</v>
      </c>
      <c r="F147" s="83">
        <v>3</v>
      </c>
      <c r="G147" s="83">
        <v>5</v>
      </c>
    </row>
    <row r="148" spans="4:7">
      <c r="D148" s="81" t="s">
        <v>169</v>
      </c>
      <c r="E148" s="83">
        <v>4</v>
      </c>
      <c r="F148" s="83">
        <v>3</v>
      </c>
      <c r="G148" s="83">
        <v>5</v>
      </c>
    </row>
    <row r="149" spans="4:7">
      <c r="D149" s="81" t="s">
        <v>170</v>
      </c>
      <c r="E149" s="83">
        <v>3</v>
      </c>
      <c r="F149" s="83">
        <v>2</v>
      </c>
      <c r="G149" s="83">
        <v>4</v>
      </c>
    </row>
    <row r="150" spans="4:7">
      <c r="D150" s="81" t="s">
        <v>171</v>
      </c>
      <c r="E150" s="83">
        <v>3</v>
      </c>
      <c r="F150" s="83">
        <v>2</v>
      </c>
      <c r="G150" s="83">
        <v>4</v>
      </c>
    </row>
    <row r="151" spans="4:7">
      <c r="D151" s="81" t="s">
        <v>71</v>
      </c>
      <c r="E151" s="83">
        <v>3</v>
      </c>
      <c r="F151" s="83">
        <v>2</v>
      </c>
      <c r="G151" s="83">
        <v>4</v>
      </c>
    </row>
    <row r="152" spans="4:7">
      <c r="D152" s="81" t="s">
        <v>47</v>
      </c>
      <c r="E152" s="83">
        <v>3</v>
      </c>
      <c r="F152" s="83">
        <v>2</v>
      </c>
      <c r="G152" s="83">
        <v>4</v>
      </c>
    </row>
    <row r="153" spans="4:7">
      <c r="D153" s="81" t="s">
        <v>74</v>
      </c>
      <c r="E153" s="83">
        <v>4</v>
      </c>
      <c r="F153" s="83">
        <v>3</v>
      </c>
      <c r="G153" s="83">
        <v>5</v>
      </c>
    </row>
    <row r="154" spans="4:7">
      <c r="D154" s="81" t="s">
        <v>75</v>
      </c>
      <c r="E154" s="83">
        <v>4</v>
      </c>
      <c r="F154" s="83">
        <v>3</v>
      </c>
      <c r="G154" s="83">
        <v>5</v>
      </c>
    </row>
    <row r="155" spans="4:7">
      <c r="D155" s="81" t="s">
        <v>111</v>
      </c>
      <c r="E155" s="84">
        <v>2</v>
      </c>
      <c r="F155" s="84">
        <v>1</v>
      </c>
      <c r="G155" s="84">
        <v>2</v>
      </c>
    </row>
    <row r="156" spans="4:7">
      <c r="D156" s="81" t="s">
        <v>172</v>
      </c>
      <c r="E156" s="83">
        <v>4</v>
      </c>
      <c r="F156" s="83">
        <v>3</v>
      </c>
      <c r="G156" s="83">
        <v>5</v>
      </c>
    </row>
    <row r="157" spans="4:7">
      <c r="D157" s="81" t="s">
        <v>173</v>
      </c>
      <c r="E157" s="83">
        <v>4</v>
      </c>
      <c r="F157" s="83">
        <v>3</v>
      </c>
      <c r="G157" s="83">
        <v>5</v>
      </c>
    </row>
    <row r="158" spans="4:7">
      <c r="D158" s="81" t="s">
        <v>174</v>
      </c>
      <c r="E158" s="83">
        <v>4</v>
      </c>
      <c r="F158" s="83">
        <v>3</v>
      </c>
      <c r="G158" s="83">
        <v>5</v>
      </c>
    </row>
    <row r="159" spans="4:7">
      <c r="D159" s="81" t="s">
        <v>175</v>
      </c>
      <c r="E159" s="83">
        <v>4</v>
      </c>
      <c r="F159" s="83">
        <v>3</v>
      </c>
      <c r="G159" s="83">
        <v>5</v>
      </c>
    </row>
    <row r="160" spans="4:7">
      <c r="D160" s="81" t="s">
        <v>176</v>
      </c>
      <c r="E160" s="83">
        <v>4</v>
      </c>
      <c r="F160" s="83">
        <v>3</v>
      </c>
      <c r="G160" s="83">
        <v>5</v>
      </c>
    </row>
    <row r="161" spans="4:7">
      <c r="D161" s="81" t="s">
        <v>177</v>
      </c>
      <c r="E161" s="83">
        <v>4</v>
      </c>
      <c r="F161" s="83">
        <v>3</v>
      </c>
      <c r="G161" s="83">
        <v>5</v>
      </c>
    </row>
    <row r="162" spans="4:7">
      <c r="D162" s="81" t="s">
        <v>86</v>
      </c>
      <c r="E162" s="83">
        <v>4</v>
      </c>
      <c r="F162" s="83">
        <v>3</v>
      </c>
      <c r="G162" s="83">
        <v>5</v>
      </c>
    </row>
    <row r="163" spans="4:7">
      <c r="D163" s="81" t="s">
        <v>96</v>
      </c>
      <c r="E163" s="83">
        <v>4</v>
      </c>
      <c r="F163" s="83">
        <v>3</v>
      </c>
      <c r="G163" s="83">
        <v>5</v>
      </c>
    </row>
    <row r="164" spans="4:7">
      <c r="D164" s="81" t="s">
        <v>87</v>
      </c>
      <c r="E164" s="83">
        <v>4</v>
      </c>
      <c r="F164" s="83">
        <v>3</v>
      </c>
      <c r="G164" s="83">
        <v>5</v>
      </c>
    </row>
    <row r="165" spans="4:7">
      <c r="D165" s="81" t="s">
        <v>97</v>
      </c>
      <c r="E165" s="83">
        <v>4</v>
      </c>
      <c r="F165" s="83">
        <v>3</v>
      </c>
      <c r="G165" s="83">
        <v>5</v>
      </c>
    </row>
    <row r="166" spans="4:7">
      <c r="D166" s="81" t="s">
        <v>51</v>
      </c>
      <c r="E166" s="83">
        <v>4</v>
      </c>
      <c r="F166" s="83">
        <v>3</v>
      </c>
      <c r="G166" s="83">
        <v>5</v>
      </c>
    </row>
    <row r="167" spans="4:7">
      <c r="D167" s="81" t="s">
        <v>90</v>
      </c>
      <c r="E167" s="83">
        <v>3</v>
      </c>
      <c r="F167" s="83">
        <v>2</v>
      </c>
      <c r="G167" s="83">
        <v>4</v>
      </c>
    </row>
    <row r="168" spans="4:7">
      <c r="D168" s="81" t="s">
        <v>178</v>
      </c>
      <c r="E168" s="83">
        <v>3</v>
      </c>
      <c r="F168" s="83">
        <v>2</v>
      </c>
      <c r="G168" s="8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rydbrwjdqhq</cp:lastModifiedBy>
  <cp:lastPrinted>2026-08-13T05:14:36Z</cp:lastPrinted>
  <dcterms:created xsi:type="dcterms:W3CDTF">2002-10-10T04:04:10Z</dcterms:created>
  <dcterms:modified xsi:type="dcterms:W3CDTF">2026-08-14T01:55:30Z</dcterms:modified>
</cp:coreProperties>
</file>