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01 학교자료\00 공문 저장\★2027학년도 고등학교 교육과정 편성_운영 방향 및 교육과정 편성(안) 제출\(제출)\"/>
    </mc:Choice>
  </mc:AlternateContent>
  <xr:revisionPtr revIDLastSave="0" documentId="13_ncr:1_{CE018E21-ED60-4A3B-BA03-74501EE4B2B6}" xr6:coauthVersionLast="47" xr6:coauthVersionMax="47" xr10:uidLastSave="{00000000-0000-0000-0000-000000000000}"/>
  <bookViews>
    <workbookView xWindow="14295" yWindow="0" windowWidth="14610" windowHeight="15585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'2027입학생'!$A$1:$P$117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40" l="1"/>
  <c r="E101" i="40"/>
  <c r="E98" i="40"/>
  <c r="E97" i="40"/>
  <c r="E96" i="40"/>
  <c r="E95" i="40"/>
  <c r="E94" i="40"/>
  <c r="E93" i="40"/>
  <c r="E92" i="40"/>
  <c r="E91" i="40"/>
  <c r="E90" i="40"/>
  <c r="E89" i="40"/>
  <c r="E88" i="40"/>
  <c r="E87" i="40"/>
  <c r="E86" i="40"/>
  <c r="E83" i="40"/>
  <c r="E82" i="40"/>
  <c r="E81" i="40"/>
  <c r="E80" i="40"/>
  <c r="E79" i="40"/>
  <c r="E78" i="40"/>
  <c r="E77" i="40"/>
  <c r="E76" i="40"/>
  <c r="E75" i="40"/>
  <c r="E74" i="40"/>
  <c r="E73" i="40"/>
  <c r="E72" i="40"/>
  <c r="E69" i="40"/>
  <c r="E68" i="40"/>
  <c r="E67" i="40"/>
  <c r="E66" i="40"/>
  <c r="E65" i="40"/>
  <c r="E64" i="40"/>
  <c r="E63" i="40"/>
  <c r="E62" i="40"/>
  <c r="E61" i="40"/>
  <c r="E60" i="40"/>
  <c r="E59" i="40"/>
  <c r="E58" i="40"/>
  <c r="E53" i="40"/>
  <c r="E52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O52" i="40" l="1"/>
  <c r="O35" i="40"/>
  <c r="O29" i="40"/>
  <c r="O25" i="40"/>
  <c r="O23" i="40"/>
  <c r="O21" i="40"/>
  <c r="O15" i="40"/>
  <c r="O13" i="40"/>
  <c r="O7" i="40"/>
  <c r="E103" i="40" l="1"/>
  <c r="O105" i="40" l="1"/>
  <c r="L106" i="40" l="1"/>
  <c r="K106" i="40"/>
  <c r="J106" i="40"/>
  <c r="I106" i="40"/>
  <c r="H106" i="40"/>
  <c r="G104" i="40"/>
  <c r="G106" i="40" l="1"/>
  <c r="O106" i="40" s="1"/>
  <c r="O104" i="40"/>
  <c r="K108" i="40"/>
  <c r="I108" i="40"/>
  <c r="P104" i="40"/>
  <c r="G108" i="40" l="1"/>
  <c r="O108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58" authorId="0" shapeId="0" xr:uid="{A403483E-25D7-4444-B53C-B9586062747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<sst xmlns="http://schemas.openxmlformats.org/spreadsheetml/2006/main" count="683" uniqueCount="341">
  <si>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</si>
  <si>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</si>
  <si>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</si>
  <si>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</si>
  <si>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</si>
  <si>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</si>
  <si>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</si>
  <si>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</si>
  <si>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</si>
  <si>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</si>
  <si>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</si>
  <si>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</si>
  <si>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</si>
  <si>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</si>
  <si>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</si>
  <si>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</si>
  <si>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</si>
  <si>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</si>
  <si>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</si>
  <si>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</si>
  <si>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</si>
  <si>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</si>
  <si>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</si>
  <si>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</si>
  <si>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</si>
  <si>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</si>
  <si>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</si>
  <si>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</si>
  <si>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</si>
  <si>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</si>
  <si>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</si>
  <si>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</si>
  <si>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</si>
  <si>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</si>
  <si>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</si>
  <si>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</si>
  <si>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</si>
  <si>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</si>
  <si>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</si>
  <si>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</si>
  <si>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</si>
  <si>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</si>
  <si>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</si>
  <si>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</si>
  <si>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</si>
  <si>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</si>
  <si>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</si>
  <si>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</si>
  <si>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</si>
  <si>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</si>
  <si>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</si>
  <si>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</si>
  <si>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</si>
  <si>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</si>
  <si>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</si>
  <si>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</si>
  <si>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</si>
  <si>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</si>
  <si>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</si>
  <si>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</si>
  <si>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</si>
  <si>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</si>
  <si>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</si>
  <si>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</si>
  <si>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</si>
  <si>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</si>
  <si>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</si>
  <si>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</si>
  <si>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</si>
  <si>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</si>
  <si>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</si>
  <si>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</si>
  <si>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</si>
  <si>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</si>
  <si>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</si>
  <si>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</si>
  <si>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</si>
  <si>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</si>
  <si>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</si>
  <si>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</si>
  <si>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</si>
  <si>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</si>
  <si>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</si>
  <si>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</si>
  <si>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</si>
  <si>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</si>
  <si>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</si>
  <si>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</si>
  <si>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</si>
  <si>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</si>
  <si>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</si>
  <si>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</si>
  <si>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</si>
  <si>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</si>
  <si>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</si>
  <si>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</si>
  <si>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</si>
  <si>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</si>
  <si>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</si>
  <si>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</si>
  <si>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</si>
  <si>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</si>
  <si>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</si>
  <si>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</si>
  <si>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</si>
  <si>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</si>
  <si>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</si>
  <si>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</si>
  <si>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</si>
  <si>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</si>
  <si>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</si>
  <si>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</si>
  <si>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</si>
  <si>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</si>
  <si>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</si>
  <si>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</si>
  <si>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</si>
  <si>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</si>
  <si>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</si>
  <si>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</si>
  <si>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</si>
  <si>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</si>
  <si>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</si>
  <si>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</si>
  <si>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</si>
  <si>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</si>
  <si>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</si>
  <si>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</si>
  <si>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</si>
  <si>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</si>
  <si>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</si>
  <si>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</si>
  <si>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</si>
  <si>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</si>
  <si>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</si>
  <si>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</si>
  <si>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</si>
  <si>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</si>
  <si>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</si>
  <si>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</si>
  <si>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</si>
  <si>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</si>
  <si>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</si>
  <si>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</si>
  <si>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</si>
  <si>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</si>
  <si>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</si>
  <si>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</si>
  <si>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</si>
  <si>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</si>
  <si>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</si>
  <si>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</si>
  <si>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</si>
  <si>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</si>
  <si>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</si>
  <si>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</si>
  <si>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</si>
  <si>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</si>
  <si>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</si>
  <si>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</si>
  <si>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</si>
  <si>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</si>
  <si>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</si>
  <si>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</si>
  <si>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</si>
  <si>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</si>
  <si>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</si>
  <si>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</si>
  <si>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</si>
  <si>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</si>
  <si>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</si>
  <si>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</si>
  <si>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</si>
  <si>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</si>
  <si>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</si>
  <si>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</si>
  <si>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</si>
  <si>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</si>
  <si>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</si>
  <si>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</si>
  <si>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</si>
  <si>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</si>
  <si>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</si>
  <si>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</si>
  <si>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 xml:space="preserve">※ 유의사항
- 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</si>
  <si>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</si>
  <si>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</si>
  <si>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</si>
  <si>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</si>
  <si>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</si>
  <si>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</si>
  <si>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</si>
  <si>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</si>
  <si>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</si>
  <si>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</si>
  <si>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</si>
  <si>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</si>
  <si>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</si>
  <si>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</si>
  <si>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</si>
  <si>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</si>
  <si>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</si>
  <si>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</si>
  <si>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</si>
  <si>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</si>
  <si>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</si>
  <si>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</si>
  <si>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</si>
  <si>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</si>
  <si>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</si>
  <si>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</si>
  <si>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</si>
  <si>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</si>
  <si>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</si>
  <si>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</si>
  <si>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</si>
  <si>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</si>
  <si>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</si>
  <si>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</si>
  <si>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</si>
  <si>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</si>
  <si>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</si>
  <si>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</si>
  <si>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</si>
  <si>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</si>
  <si>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</si>
  <si>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</si>
  <si>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</si>
  <si>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</si>
  <si>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</si>
  <si>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</si>
  <si>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</si>
  <si>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</si>
  <si>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</si>
  <si>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</si>
  <si>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</si>
  <si>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</si>
  <si>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</si>
  <si>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</si>
  <si>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</si>
  <si>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</si>
  <si>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</si>
  <si>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</si>
  <si>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</si>
  <si>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</si>
  <si>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</si>
  <si>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</si>
  <si>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</si>
  <si>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</si>
  <si>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</si>
  <si>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</si>
  <si>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</si>
  <si>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</si>
  <si>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</si>
  <si>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</si>
  <si>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</si>
  <si>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</si>
  <si>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</si>
  <si>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</si>
  <si>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</si>
  <si>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</si>
  <si>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</si>
  <si>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</si>
  <si>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대원여자고등학교 교육과정 학점 배당표</t>
  </si>
  <si>
    <t>공통</t>
  </si>
  <si>
    <t>일반</t>
  </si>
  <si>
    <t>진로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</si>
  <si>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</si>
  <si>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</si>
  <si>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</si>
  <si>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</si>
  <si>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</si>
  <si>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</si>
  <si>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</si>
  <si>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</si>
  <si>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</si>
  <si>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</si>
  <si>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</si>
  <si>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</si>
  <si>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</si>
  <si>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</si>
  <si>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융합</t>
  </si>
  <si>
    <t>음악이론</t>
  </si>
  <si>
    <t>음악이론1</t>
  </si>
  <si>
    <t>시창·청음</t>
  </si>
  <si>
    <t>시창·청음1</t>
  </si>
  <si>
    <t>시창·청음2</t>
  </si>
  <si>
    <t>시창·청음3</t>
  </si>
  <si>
    <t>음악사</t>
  </si>
  <si>
    <t>음악사I</t>
  </si>
  <si>
    <t>음악 공연 실습</t>
  </si>
  <si>
    <t>음악 공연 실습1</t>
  </si>
  <si>
    <t>음악 전공 실기1</t>
  </si>
  <si>
    <t>음악 전공 실기2</t>
  </si>
  <si>
    <t>음악 전공 실기3</t>
  </si>
  <si>
    <t>음악 전공 실기4</t>
  </si>
  <si>
    <t>음악 전공 실기5</t>
  </si>
  <si>
    <t>음악 전공 실기6</t>
  </si>
  <si>
    <t>합창·합주</t>
  </si>
  <si>
    <t>논술</t>
  </si>
  <si>
    <t xml:space="preserve">화법과 언어 </t>
  </si>
  <si>
    <t xml:space="preserve">독서와 작문 </t>
  </si>
  <si>
    <t xml:space="preserve">심화 영어 독해와 작문 </t>
  </si>
  <si>
    <t xml:space="preserve">1
학년선택 </t>
    <phoneticPr fontId="1" type="noConversion"/>
  </si>
  <si>
    <t>예 술</t>
  </si>
  <si>
    <t>합창1</t>
  </si>
  <si>
    <t>타 시·도 교육감 승인 과목(특목고)</t>
  </si>
  <si>
    <t>합주1</t>
  </si>
  <si>
    <t>(택1)</t>
    <phoneticPr fontId="1" type="noConversion"/>
  </si>
  <si>
    <t>합창2</t>
  </si>
  <si>
    <t>합주2</t>
  </si>
  <si>
    <t>(택1)</t>
  </si>
  <si>
    <t>사 회
(역사/도덕 포함)</t>
  </si>
  <si>
    <t>정치</t>
  </si>
  <si>
    <t>물리학</t>
  </si>
  <si>
    <t>화학</t>
  </si>
  <si>
    <t>중국어</t>
  </si>
  <si>
    <t>합창3</t>
  </si>
  <si>
    <t>합주3</t>
  </si>
  <si>
    <t xml:space="preserve">도시의 미래 탐구 </t>
  </si>
  <si>
    <t>지구과학</t>
  </si>
  <si>
    <t>합창4</t>
  </si>
  <si>
    <t>합주4</t>
  </si>
  <si>
    <t xml:space="preserve">생명과학 </t>
  </si>
  <si>
    <t xml:space="preserve">중국어 회화 </t>
  </si>
  <si>
    <t xml:space="preserve">법과 사회 </t>
  </si>
  <si>
    <t>한국지리 탐구</t>
  </si>
  <si>
    <t>인간과 철학</t>
  </si>
  <si>
    <t>보건</t>
  </si>
  <si>
    <t>합창5</t>
  </si>
  <si>
    <t>합주5</t>
  </si>
  <si>
    <t xml:space="preserve">논리와 사고 </t>
  </si>
  <si>
    <t>6
(택2)</t>
    <phoneticPr fontId="1" type="noConversion"/>
  </si>
  <si>
    <t>4
(택1)</t>
    <phoneticPr fontId="1" type="noConversion"/>
  </si>
  <si>
    <t>3
(택1)</t>
    <phoneticPr fontId="1" type="noConversion"/>
  </si>
  <si>
    <t xml:space="preserve">독일어 </t>
  </si>
  <si>
    <t xml:space="preserve">일본어 </t>
  </si>
  <si>
    <t xml:space="preserve">윤리와 사상 </t>
  </si>
  <si>
    <t xml:space="preserve">교육의 이해 </t>
  </si>
  <si>
    <t>특목고 선택 과목</t>
  </si>
  <si>
    <t>2027학년도 입학_음악과정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</si>
</sst>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5">
    <xf numFmtId="0" fontId="0" fillId="0" borderId="0" xfId="0"/>
    <xf numFmtId="0" fontId="0" fillId="0" borderId="72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7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49" fontId="12" fillId="0" borderId="58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42" xfId="0" quotePrefix="1" applyFont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1" fillId="2" borderId="71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2" fillId="0" borderId="21" xfId="0" quotePrefix="1" applyFont="1" applyBorder="1" applyAlignment="1">
      <alignment horizontal="center" vertical="center" wrapText="1"/>
    </xf>
    <xf numFmtId="0" fontId="12" fillId="0" borderId="94" xfId="0" quotePrefix="1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 wrapText="1"/>
    </xf>
    <xf numFmtId="0" fontId="11" fillId="2" borderId="61" xfId="0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2" borderId="83" xfId="0" applyFont="1" applyFill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43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39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58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47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42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60" xfId="0" quotePrefix="1" applyFont="1" applyFill="1" applyBorder="1" applyAlignment="1">
      <alignment horizontal="center" vertical="center" wrapText="1"/>
    </xf>
    <xf numFmtId="0" fontId="3" fillId="3" borderId="105" xfId="0" applyFont="1" applyFill="1" applyBorder="1" applyAlignment="1">
      <alignment horizontal="center" vertical="center" wrapText="1"/>
    </xf>
    <xf numFmtId="0" fontId="9" fillId="3" borderId="104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4" xfId="0" applyFont="1" applyFill="1" applyBorder="1" applyAlignment="1">
      <alignment horizontal="center" vertical="center" wrapText="1"/>
    </xf>
    <xf numFmtId="0" fontId="5" fillId="2" borderId="9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2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2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shrinkToFit="1"/>
    </xf>
    <xf numFmtId="0" fontId="5" fillId="0" borderId="58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20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14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12" fillId="2" borderId="95" xfId="0" applyFont="1" applyFill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 wrapText="1"/>
    </xf>
    <xf numFmtId="0" fontId="12" fillId="2" borderId="113" xfId="0" applyFont="1" applyFill="1" applyBorder="1" applyAlignment="1">
      <alignment horizontal="center" vertical="center" wrapText="1"/>
    </xf>
    <xf numFmtId="49" fontId="12" fillId="0" borderId="39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3" xfId="0" applyFont="1" applyFill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08" xfId="0" applyFont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4" borderId="55" xfId="0" applyFont="1" applyFill="1" applyBorder="1" applyAlignment="1">
      <alignment horizontal="center" vertical="center" wrapText="1"/>
    </xf>
    <xf numFmtId="0" fontId="12" fillId="4" borderId="57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72" xfId="0" applyFont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1" fillId="3" borderId="51" xfId="0" applyFont="1" applyFill="1" applyBorder="1" applyAlignment="1">
      <alignment horizontal="left" vertical="top" wrapText="1"/>
    </xf>
    <xf numFmtId="0" fontId="12" fillId="3" borderId="86" xfId="0" applyFont="1" applyFill="1" applyBorder="1" applyAlignment="1">
      <alignment horizontal="left" vertical="top"/>
    </xf>
    <xf numFmtId="0" fontId="12" fillId="3" borderId="87" xfId="0" applyFont="1" applyFill="1" applyBorder="1" applyAlignment="1">
      <alignment horizontal="left" vertical="top"/>
    </xf>
    <xf numFmtId="0" fontId="12" fillId="3" borderId="72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8" xfId="0" applyFont="1" applyFill="1" applyBorder="1" applyAlignment="1">
      <alignment horizontal="left" vertical="top"/>
    </xf>
    <xf numFmtId="0" fontId="12" fillId="3" borderId="67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2" xfId="0" applyFont="1" applyFill="1" applyBorder="1" applyAlignment="1">
      <alignment horizontal="left" vertical="top"/>
    </xf>
    <xf numFmtId="0" fontId="5" fillId="2" borderId="52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5" fillId="2" borderId="66" xfId="0" applyFont="1" applyFill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3" fillId="3" borderId="11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117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shrinkToFit="1"/>
    </xf>
    <xf numFmtId="0" fontId="5" fillId="2" borderId="8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118" xfId="0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49" fontId="5" fillId="0" borderId="85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4" borderId="99" xfId="0" applyFont="1" applyFill="1" applyBorder="1" applyAlignment="1">
      <alignment horizontal="center" vertical="center" wrapText="1"/>
    </xf>
    <xf numFmtId="0" fontId="5" fillId="2" borderId="120" xfId="0" applyFont="1" applyFill="1" applyBorder="1" applyAlignment="1">
      <alignment horizontal="center" vertical="center" wrapText="1"/>
    </xf>
    <xf numFmtId="0" fontId="12" fillId="2" borderId="77" xfId="0" applyFont="1" applyFill="1" applyBorder="1" applyAlignment="1">
      <alignment horizontal="center" vertical="center" wrapText="1"/>
    </xf>
    <xf numFmtId="0" fontId="12" fillId="2" borderId="75" xfId="0" applyFont="1" applyFill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121" xfId="0" applyFont="1" applyBorder="1" applyAlignment="1">
      <alignment horizontal="center" vertical="center" wrapText="1"/>
    </xf>
  </cellXfs>
  <cellStyles count="1">
    <cellStyle name="표준" xfId="0" builtinId="0"/>
  </cellStyles>
  <dxfs count="31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30"/>
    </tableStyle>
    <tableStyle name="표 스타일 2" pivot="0" count="1" xr9:uid="{00000000-0011-0000-FFFF-FFFF01000000}">
      <tableStyleElement type="lastColumn" dxfId="29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03" headerRowCount="0" totalsRowShown="0" headerRowDxfId="28" dataDxfId="27" tableBorderDxfId="26">
  <tableColumns count="4">
    <tableColumn id="1" xr3:uid="{00000000-0010-0000-0000-000001000000}" name="기준_x000a_학점" headerRowDxfId="25" dataDxfId="24">
      <calculatedColumnFormula>IFERROR(VLOOKUP(D7, 기본학점, 2, FALSE), "")</calculatedColumnFormula>
    </tableColumn>
    <tableColumn id="2" xr3:uid="{00000000-0010-0000-0000-000002000000}" name="운영_x000a_학점" headerRowDxfId="23" dataDxfId="22"/>
    <tableColumn id="3" xr3:uid="{82C667D2-710B-40AD-A5FC-293A4124AE88}" name="세로 막대형1" headerRowDxfId="21" dataDxfId="20"/>
    <tableColumn id="4" xr3:uid="{687CF4F7-8CF6-4E3F-B81A-62A0DFBA5DFD}" name="세로 막대형2" headerRowDxfId="19" dataDxfId="1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>
      <selection activeCell="J1" sqref="J1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17"/>
  <sheetViews>
    <sheetView tabSelected="1" zoomScale="70" zoomScaleNormal="70" zoomScaleSheetLayoutView="100" workbookViewId="0">
      <selection sqref="A1:P1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282" t="s">
        <v>263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16" ht="29.25" customHeight="1" thickBot="1">
      <c r="A2" s="303" t="s">
        <v>340</v>
      </c>
      <c r="B2" s="303"/>
      <c r="C2" s="303"/>
      <c r="D2" s="303"/>
      <c r="E2" s="184"/>
      <c r="F2" s="3"/>
      <c r="G2" s="2"/>
      <c r="H2" s="2"/>
      <c r="I2" s="2"/>
      <c r="J2" s="2"/>
      <c r="K2" s="301"/>
      <c r="L2" s="301"/>
      <c r="M2" s="302"/>
      <c r="N2" s="302"/>
      <c r="O2" s="302"/>
      <c r="P2" s="302"/>
    </row>
    <row r="3" spans="1:16" ht="16.5" customHeight="1">
      <c r="A3" s="283" t="s">
        <v>11</v>
      </c>
      <c r="B3" s="286" t="s">
        <v>3</v>
      </c>
      <c r="C3" s="289" t="s">
        <v>261</v>
      </c>
      <c r="D3" s="289" t="s">
        <v>258</v>
      </c>
      <c r="E3" s="289" t="s">
        <v>260</v>
      </c>
      <c r="F3" s="289" t="s">
        <v>21</v>
      </c>
      <c r="G3" s="299" t="s">
        <v>4</v>
      </c>
      <c r="H3" s="300"/>
      <c r="I3" s="299" t="s">
        <v>0</v>
      </c>
      <c r="J3" s="300"/>
      <c r="K3" s="299" t="s">
        <v>1</v>
      </c>
      <c r="L3" s="300"/>
      <c r="M3" s="289" t="s">
        <v>245</v>
      </c>
      <c r="N3" s="317" t="s">
        <v>244</v>
      </c>
      <c r="O3" s="289" t="s">
        <v>22</v>
      </c>
      <c r="P3" s="292" t="s">
        <v>23</v>
      </c>
    </row>
    <row r="4" spans="1:16" ht="14.45" customHeight="1">
      <c r="A4" s="284"/>
      <c r="B4" s="287"/>
      <c r="C4" s="290"/>
      <c r="D4" s="290"/>
      <c r="E4" s="290"/>
      <c r="F4" s="290"/>
      <c r="G4" s="295" t="s">
        <v>2</v>
      </c>
      <c r="H4" s="297" t="s">
        <v>13</v>
      </c>
      <c r="I4" s="295" t="s">
        <v>2</v>
      </c>
      <c r="J4" s="297" t="s">
        <v>13</v>
      </c>
      <c r="K4" s="295" t="s">
        <v>2</v>
      </c>
      <c r="L4" s="297" t="s">
        <v>13</v>
      </c>
      <c r="M4" s="290"/>
      <c r="N4" s="318"/>
      <c r="O4" s="290"/>
      <c r="P4" s="293"/>
    </row>
    <row r="5" spans="1:16" ht="14.45" customHeight="1" thickBot="1">
      <c r="A5" s="285"/>
      <c r="B5" s="288"/>
      <c r="C5" s="291"/>
      <c r="D5" s="291"/>
      <c r="E5" s="291"/>
      <c r="F5" s="291"/>
      <c r="G5" s="296"/>
      <c r="H5" s="298"/>
      <c r="I5" s="296"/>
      <c r="J5" s="298"/>
      <c r="K5" s="296"/>
      <c r="L5" s="298"/>
      <c r="M5" s="291"/>
      <c r="N5" s="319"/>
      <c r="O5" s="291"/>
      <c r="P5" s="294"/>
    </row>
    <row r="6" spans="1:16" ht="14.45" hidden="1" customHeight="1" thickBot="1">
      <c r="A6" s="103"/>
      <c r="B6" s="104"/>
      <c r="C6" s="124"/>
      <c r="D6" s="102"/>
      <c r="E6"/>
      <c r="F6"/>
      <c r="G6" s="123"/>
      <c r="H6" s="125"/>
      <c r="I6" s="126"/>
      <c r="J6" s="125"/>
      <c r="K6" s="126"/>
      <c r="L6" s="152"/>
      <c r="M6" s="153"/>
      <c r="N6" s="168"/>
      <c r="O6" s="105"/>
      <c r="P6" s="106"/>
    </row>
    <row r="7" spans="1:16" ht="15.6" customHeight="1">
      <c r="A7" s="261" t="s">
        <v>14</v>
      </c>
      <c r="B7" s="236" t="s">
        <v>259</v>
      </c>
      <c r="C7" s="107" t="s">
        <v>264</v>
      </c>
      <c r="D7" s="189" t="s">
        <v>26</v>
      </c>
      <c r="E7" s="112">
        <f t="shared" ref="E7:E70" si="0">IFERROR(VLOOKUP(D7, 기본학점, 2, FALSE), "")</f>
        <v>4</v>
      </c>
      <c r="F7" s="113">
        <v>3</v>
      </c>
      <c r="G7" s="210">
        <v>3</v>
      </c>
      <c r="H7" s="211"/>
      <c r="I7" s="64"/>
      <c r="J7" s="63"/>
      <c r="K7" s="64"/>
      <c r="L7" s="65"/>
      <c r="M7" s="188"/>
      <c r="N7" s="169"/>
      <c r="O7" s="254">
        <f>SUM(F7:F12)</f>
        <v>22</v>
      </c>
      <c r="P7" s="257">
        <v>8</v>
      </c>
    </row>
    <row r="8" spans="1:16" ht="15.6" customHeight="1">
      <c r="A8" s="262"/>
      <c r="B8" s="228"/>
      <c r="C8" s="214" t="s">
        <v>264</v>
      </c>
      <c r="D8" s="192" t="s">
        <v>30</v>
      </c>
      <c r="E8" s="208">
        <f t="shared" si="0"/>
        <v>4</v>
      </c>
      <c r="F8" s="161">
        <v>3</v>
      </c>
      <c r="G8" s="135"/>
      <c r="H8" s="139">
        <v>3</v>
      </c>
      <c r="I8" s="67"/>
      <c r="J8" s="66"/>
      <c r="K8" s="67"/>
      <c r="L8" s="68"/>
      <c r="M8" s="191"/>
      <c r="N8" s="169"/>
      <c r="O8" s="255"/>
      <c r="P8" s="231"/>
    </row>
    <row r="9" spans="1:16" ht="15.6" customHeight="1">
      <c r="A9" s="262"/>
      <c r="B9" s="228"/>
      <c r="C9" s="214" t="s">
        <v>265</v>
      </c>
      <c r="D9" s="192" t="s">
        <v>29</v>
      </c>
      <c r="E9" s="208">
        <f t="shared" si="0"/>
        <v>4</v>
      </c>
      <c r="F9" s="161">
        <v>4</v>
      </c>
      <c r="G9" s="135"/>
      <c r="H9" s="139"/>
      <c r="I9" s="67">
        <v>4</v>
      </c>
      <c r="J9" s="66"/>
      <c r="K9" s="67"/>
      <c r="L9" s="68"/>
      <c r="M9" s="191"/>
      <c r="N9" s="169"/>
      <c r="O9" s="255"/>
      <c r="P9" s="231"/>
    </row>
    <row r="10" spans="1:16" ht="15.6" customHeight="1">
      <c r="A10" s="262"/>
      <c r="B10" s="228"/>
      <c r="C10" s="214" t="s">
        <v>265</v>
      </c>
      <c r="D10" s="192" t="s">
        <v>300</v>
      </c>
      <c r="E10" s="208">
        <f t="shared" si="0"/>
        <v>4</v>
      </c>
      <c r="F10" s="161">
        <v>4</v>
      </c>
      <c r="G10" s="135"/>
      <c r="H10" s="139"/>
      <c r="I10" s="67"/>
      <c r="J10" s="66">
        <v>4</v>
      </c>
      <c r="K10" s="67"/>
      <c r="L10" s="68"/>
      <c r="M10" s="191"/>
      <c r="N10" s="169"/>
      <c r="O10" s="255"/>
      <c r="P10" s="231"/>
    </row>
    <row r="11" spans="1:16" ht="15.6" customHeight="1">
      <c r="A11" s="262"/>
      <c r="B11" s="228"/>
      <c r="C11" s="154" t="s">
        <v>265</v>
      </c>
      <c r="D11" s="192" t="s">
        <v>301</v>
      </c>
      <c r="E11" s="208">
        <f t="shared" si="0"/>
        <v>4</v>
      </c>
      <c r="F11" s="161">
        <v>4</v>
      </c>
      <c r="G11" s="135"/>
      <c r="H11" s="139"/>
      <c r="I11" s="67"/>
      <c r="J11" s="66"/>
      <c r="K11" s="67">
        <v>4</v>
      </c>
      <c r="L11" s="68"/>
      <c r="M11" s="191"/>
      <c r="N11" s="169"/>
      <c r="O11" s="255"/>
      <c r="P11" s="231"/>
    </row>
    <row r="12" spans="1:16" ht="15.6" customHeight="1">
      <c r="A12" s="262"/>
      <c r="B12" s="229"/>
      <c r="C12" s="101" t="s">
        <v>266</v>
      </c>
      <c r="D12" s="192" t="s">
        <v>58</v>
      </c>
      <c r="E12" s="156">
        <f t="shared" si="0"/>
        <v>4</v>
      </c>
      <c r="F12" s="119">
        <v>4</v>
      </c>
      <c r="G12" s="133"/>
      <c r="H12" s="142"/>
      <c r="I12" s="76"/>
      <c r="J12" s="77"/>
      <c r="K12" s="76"/>
      <c r="L12" s="65">
        <v>4</v>
      </c>
      <c r="M12" s="188"/>
      <c r="N12" s="170"/>
      <c r="O12" s="256"/>
      <c r="P12" s="258"/>
    </row>
    <row r="13" spans="1:16" ht="15.6" customHeight="1">
      <c r="A13" s="262"/>
      <c r="B13" s="227" t="s">
        <v>7</v>
      </c>
      <c r="C13" s="69" t="s">
        <v>264</v>
      </c>
      <c r="D13" s="195" t="s">
        <v>27</v>
      </c>
      <c r="E13" s="215">
        <f t="shared" si="0"/>
        <v>4</v>
      </c>
      <c r="F13" s="155">
        <v>3</v>
      </c>
      <c r="G13" s="115">
        <v>4</v>
      </c>
      <c r="H13" s="140"/>
      <c r="I13" s="71"/>
      <c r="J13" s="70"/>
      <c r="K13" s="115"/>
      <c r="L13" s="140"/>
      <c r="M13" s="196"/>
      <c r="N13" s="171"/>
      <c r="O13" s="233">
        <f>SUM(F13:F14)</f>
        <v>6</v>
      </c>
      <c r="P13" s="230">
        <v>8</v>
      </c>
    </row>
    <row r="14" spans="1:16" ht="15.6" customHeight="1">
      <c r="A14" s="262"/>
      <c r="B14" s="229"/>
      <c r="C14" s="101" t="s">
        <v>264</v>
      </c>
      <c r="D14" s="197" t="s">
        <v>33</v>
      </c>
      <c r="E14" s="156">
        <f t="shared" si="0"/>
        <v>4</v>
      </c>
      <c r="F14" s="157">
        <v>3</v>
      </c>
      <c r="G14" s="117"/>
      <c r="H14" s="141">
        <v>4</v>
      </c>
      <c r="I14" s="74"/>
      <c r="J14" s="73"/>
      <c r="K14" s="74"/>
      <c r="L14" s="73"/>
      <c r="M14" s="193"/>
      <c r="N14" s="101"/>
      <c r="O14" s="234"/>
      <c r="P14" s="231"/>
    </row>
    <row r="15" spans="1:16" ht="15.6" customHeight="1">
      <c r="A15" s="262"/>
      <c r="B15" s="227" t="s">
        <v>16</v>
      </c>
      <c r="C15" s="69" t="s">
        <v>264</v>
      </c>
      <c r="D15" s="195" t="s">
        <v>28</v>
      </c>
      <c r="E15" s="215">
        <f t="shared" si="0"/>
        <v>4</v>
      </c>
      <c r="F15" s="158">
        <v>3</v>
      </c>
      <c r="G15" s="134">
        <v>3</v>
      </c>
      <c r="H15" s="140"/>
      <c r="I15" s="71"/>
      <c r="J15" s="70"/>
      <c r="K15" s="71"/>
      <c r="L15" s="70"/>
      <c r="M15" s="196"/>
      <c r="N15" s="171"/>
      <c r="O15" s="235">
        <f>SUM(F15:F20)</f>
        <v>22</v>
      </c>
      <c r="P15" s="230">
        <v>8</v>
      </c>
    </row>
    <row r="16" spans="1:16" ht="15.6" customHeight="1">
      <c r="A16" s="262"/>
      <c r="B16" s="228"/>
      <c r="C16" s="154" t="s">
        <v>264</v>
      </c>
      <c r="D16" s="192" t="s">
        <v>39</v>
      </c>
      <c r="E16" s="208">
        <f t="shared" si="0"/>
        <v>4</v>
      </c>
      <c r="F16" s="161">
        <v>3</v>
      </c>
      <c r="G16" s="135"/>
      <c r="H16" s="139">
        <v>3</v>
      </c>
      <c r="I16" s="67"/>
      <c r="J16" s="66"/>
      <c r="K16" s="67"/>
      <c r="L16" s="66"/>
      <c r="M16" s="191"/>
      <c r="N16" s="169"/>
      <c r="O16" s="233"/>
      <c r="P16" s="231"/>
    </row>
    <row r="17" spans="1:20" ht="15.6" customHeight="1">
      <c r="A17" s="262"/>
      <c r="B17" s="228"/>
      <c r="C17" s="154" t="s">
        <v>265</v>
      </c>
      <c r="D17" s="192" t="s">
        <v>267</v>
      </c>
      <c r="E17" s="208">
        <f t="shared" si="0"/>
        <v>4</v>
      </c>
      <c r="F17" s="161">
        <v>4</v>
      </c>
      <c r="G17" s="135"/>
      <c r="H17" s="139"/>
      <c r="I17" s="67">
        <v>4</v>
      </c>
      <c r="J17" s="66"/>
      <c r="K17" s="67"/>
      <c r="L17" s="66"/>
      <c r="M17" s="191"/>
      <c r="N17" s="169"/>
      <c r="O17" s="233"/>
      <c r="P17" s="231"/>
    </row>
    <row r="18" spans="1:20" ht="15.6" customHeight="1">
      <c r="A18" s="262"/>
      <c r="B18" s="228"/>
      <c r="C18" s="154" t="s">
        <v>265</v>
      </c>
      <c r="D18" s="192" t="s">
        <v>268</v>
      </c>
      <c r="E18" s="208">
        <f t="shared" si="0"/>
        <v>4</v>
      </c>
      <c r="F18" s="161">
        <v>4</v>
      </c>
      <c r="G18" s="135"/>
      <c r="H18" s="139"/>
      <c r="I18" s="67"/>
      <c r="J18" s="66">
        <v>4</v>
      </c>
      <c r="K18" s="67"/>
      <c r="L18" s="66"/>
      <c r="M18" s="191"/>
      <c r="N18" s="169"/>
      <c r="O18" s="233"/>
      <c r="P18" s="231"/>
    </row>
    <row r="19" spans="1:20" ht="15.6" customHeight="1">
      <c r="A19" s="262"/>
      <c r="B19" s="228"/>
      <c r="C19" s="154" t="s">
        <v>265</v>
      </c>
      <c r="D19" s="192" t="s">
        <v>40</v>
      </c>
      <c r="E19" s="208">
        <f t="shared" si="0"/>
        <v>4</v>
      </c>
      <c r="F19" s="161">
        <v>4</v>
      </c>
      <c r="G19" s="135"/>
      <c r="H19" s="139"/>
      <c r="I19" s="67"/>
      <c r="J19" s="66"/>
      <c r="K19" s="67">
        <v>4</v>
      </c>
      <c r="L19" s="66"/>
      <c r="M19" s="191"/>
      <c r="N19" s="169"/>
      <c r="O19" s="233"/>
      <c r="P19" s="231"/>
    </row>
    <row r="20" spans="1:20" ht="15.6" customHeight="1">
      <c r="A20" s="262"/>
      <c r="B20" s="229"/>
      <c r="C20" s="101" t="s">
        <v>266</v>
      </c>
      <c r="D20" s="193" t="s">
        <v>302</v>
      </c>
      <c r="E20" s="156">
        <f t="shared" si="0"/>
        <v>4</v>
      </c>
      <c r="F20" s="119">
        <v>4</v>
      </c>
      <c r="G20" s="205"/>
      <c r="H20" s="206"/>
      <c r="I20" s="78"/>
      <c r="J20" s="79"/>
      <c r="K20" s="78"/>
      <c r="L20" s="79">
        <v>4</v>
      </c>
      <c r="M20" s="193"/>
      <c r="N20" s="101"/>
      <c r="O20" s="233"/>
      <c r="P20" s="258"/>
    </row>
    <row r="21" spans="1:20" ht="15.6" customHeight="1">
      <c r="A21" s="262"/>
      <c r="B21" s="227" t="s">
        <v>185</v>
      </c>
      <c r="C21" s="110" t="s">
        <v>264</v>
      </c>
      <c r="D21" s="195" t="s">
        <v>269</v>
      </c>
      <c r="E21" s="215">
        <f t="shared" si="0"/>
        <v>3</v>
      </c>
      <c r="F21" s="158">
        <v>3</v>
      </c>
      <c r="G21" s="134">
        <v>3</v>
      </c>
      <c r="H21" s="140"/>
      <c r="I21" s="71"/>
      <c r="J21" s="70"/>
      <c r="K21" s="71"/>
      <c r="L21" s="72"/>
      <c r="M21" s="196"/>
      <c r="N21" s="171"/>
      <c r="O21" s="235">
        <f>SUM(F21:F22)</f>
        <v>6</v>
      </c>
      <c r="P21" s="230">
        <v>6</v>
      </c>
    </row>
    <row r="22" spans="1:20" ht="15.6" customHeight="1">
      <c r="A22" s="262"/>
      <c r="B22" s="228"/>
      <c r="C22" s="109" t="s">
        <v>264</v>
      </c>
      <c r="D22" s="197" t="s">
        <v>270</v>
      </c>
      <c r="E22" s="182">
        <f t="shared" si="0"/>
        <v>3</v>
      </c>
      <c r="F22" s="157">
        <v>3</v>
      </c>
      <c r="G22" s="136"/>
      <c r="H22" s="141">
        <v>3</v>
      </c>
      <c r="I22" s="74"/>
      <c r="J22" s="73"/>
      <c r="K22" s="74"/>
      <c r="L22" s="73"/>
      <c r="M22" s="197"/>
      <c r="N22" s="109"/>
      <c r="O22" s="234"/>
      <c r="P22" s="258"/>
    </row>
    <row r="23" spans="1:20" ht="15.6" customHeight="1">
      <c r="A23" s="262"/>
      <c r="B23" s="228"/>
      <c r="C23" s="69" t="s">
        <v>264</v>
      </c>
      <c r="D23" s="195" t="s">
        <v>271</v>
      </c>
      <c r="E23" s="215">
        <f t="shared" si="0"/>
        <v>4</v>
      </c>
      <c r="F23" s="158">
        <v>4</v>
      </c>
      <c r="G23" s="134">
        <v>4</v>
      </c>
      <c r="H23" s="140"/>
      <c r="I23" s="71"/>
      <c r="J23" s="70"/>
      <c r="K23" s="71"/>
      <c r="L23" s="72"/>
      <c r="M23" s="196"/>
      <c r="N23" s="69"/>
      <c r="O23" s="235">
        <f>SUM(F23:F24)</f>
        <v>8</v>
      </c>
      <c r="P23" s="230">
        <v>8</v>
      </c>
    </row>
    <row r="24" spans="1:20" ht="15.6" customHeight="1">
      <c r="A24" s="262"/>
      <c r="B24" s="229"/>
      <c r="C24" s="109" t="s">
        <v>264</v>
      </c>
      <c r="D24" s="197" t="s">
        <v>272</v>
      </c>
      <c r="E24" s="182">
        <f t="shared" si="0"/>
        <v>4</v>
      </c>
      <c r="F24" s="157">
        <v>4</v>
      </c>
      <c r="G24" s="136"/>
      <c r="H24" s="141">
        <v>4</v>
      </c>
      <c r="I24" s="74"/>
      <c r="J24" s="73"/>
      <c r="K24" s="74"/>
      <c r="L24" s="73"/>
      <c r="M24" s="197"/>
      <c r="N24" s="109"/>
      <c r="O24" s="234"/>
      <c r="P24" s="258"/>
    </row>
    <row r="25" spans="1:20" ht="15.6" customHeight="1">
      <c r="A25" s="262"/>
      <c r="B25" s="227" t="s">
        <v>8</v>
      </c>
      <c r="C25" s="69" t="s">
        <v>264</v>
      </c>
      <c r="D25" s="195" t="s">
        <v>273</v>
      </c>
      <c r="E25" s="215">
        <f t="shared" si="0"/>
        <v>4</v>
      </c>
      <c r="F25" s="158">
        <v>4</v>
      </c>
      <c r="G25" s="134">
        <v>4</v>
      </c>
      <c r="H25" s="140"/>
      <c r="I25" s="71"/>
      <c r="J25" s="70"/>
      <c r="K25" s="80"/>
      <c r="L25" s="81"/>
      <c r="M25" s="196"/>
      <c r="N25" s="69"/>
      <c r="O25" s="235">
        <f>SUM(F25:F28)</f>
        <v>10</v>
      </c>
      <c r="P25" s="230">
        <v>10</v>
      </c>
    </row>
    <row r="26" spans="1:20" ht="15.6" customHeight="1">
      <c r="A26" s="262"/>
      <c r="B26" s="228"/>
      <c r="C26" s="108" t="s">
        <v>264</v>
      </c>
      <c r="D26" s="192" t="s">
        <v>274</v>
      </c>
      <c r="E26" s="208">
        <f t="shared" si="0"/>
        <v>4</v>
      </c>
      <c r="F26" s="161">
        <v>4</v>
      </c>
      <c r="G26" s="135"/>
      <c r="H26" s="139">
        <v>4</v>
      </c>
      <c r="I26" s="67"/>
      <c r="J26" s="66"/>
      <c r="K26" s="82"/>
      <c r="L26" s="83"/>
      <c r="M26" s="191"/>
      <c r="N26" s="169"/>
      <c r="O26" s="233"/>
      <c r="P26" s="231"/>
    </row>
    <row r="27" spans="1:20" ht="15.6" customHeight="1">
      <c r="A27" s="262"/>
      <c r="B27" s="228"/>
      <c r="C27" s="154" t="s">
        <v>264</v>
      </c>
      <c r="D27" s="192" t="s">
        <v>275</v>
      </c>
      <c r="E27" s="208">
        <f t="shared" si="0"/>
        <v>1</v>
      </c>
      <c r="F27" s="183">
        <v>1</v>
      </c>
      <c r="G27" s="135">
        <v>1</v>
      </c>
      <c r="H27" s="139"/>
      <c r="I27" s="67"/>
      <c r="J27" s="66"/>
      <c r="K27" s="82"/>
      <c r="L27" s="83"/>
      <c r="M27" s="190"/>
      <c r="N27" s="169"/>
      <c r="O27" s="233"/>
      <c r="P27" s="231"/>
    </row>
    <row r="28" spans="1:20" ht="15.6" customHeight="1">
      <c r="A28" s="262"/>
      <c r="B28" s="229"/>
      <c r="C28" s="100" t="s">
        <v>264</v>
      </c>
      <c r="D28" s="197" t="s">
        <v>276</v>
      </c>
      <c r="E28" s="156">
        <f t="shared" si="0"/>
        <v>1</v>
      </c>
      <c r="F28" s="119">
        <v>1</v>
      </c>
      <c r="G28" s="136"/>
      <c r="H28" s="141">
        <v>1</v>
      </c>
      <c r="I28" s="74"/>
      <c r="J28" s="73"/>
      <c r="K28" s="74"/>
      <c r="L28" s="75"/>
      <c r="M28" s="194"/>
      <c r="N28" s="170"/>
      <c r="O28" s="234"/>
      <c r="P28" s="258"/>
      <c r="R28" s="6"/>
      <c r="S28" s="6"/>
      <c r="T28" s="6"/>
    </row>
    <row r="29" spans="1:20" ht="15.6" customHeight="1">
      <c r="A29" s="262"/>
      <c r="B29" s="227" t="s">
        <v>9</v>
      </c>
      <c r="C29" s="69" t="s">
        <v>265</v>
      </c>
      <c r="D29" s="195" t="s">
        <v>277</v>
      </c>
      <c r="E29" s="215">
        <f t="shared" si="0"/>
        <v>3</v>
      </c>
      <c r="F29" s="155">
        <v>2</v>
      </c>
      <c r="G29" s="115">
        <v>2</v>
      </c>
      <c r="H29" s="140"/>
      <c r="I29" s="71"/>
      <c r="J29" s="70"/>
      <c r="K29" s="71"/>
      <c r="L29" s="72"/>
      <c r="M29" s="196"/>
      <c r="N29" s="69"/>
      <c r="O29" s="235">
        <f>SUM(F29:F34)</f>
        <v>10</v>
      </c>
      <c r="P29" s="230">
        <v>10</v>
      </c>
      <c r="R29" s="6"/>
      <c r="S29" s="6"/>
      <c r="T29" s="6"/>
    </row>
    <row r="30" spans="1:20" ht="15.6" customHeight="1">
      <c r="A30" s="262"/>
      <c r="B30" s="228"/>
      <c r="C30" s="154" t="s">
        <v>265</v>
      </c>
      <c r="D30" s="192" t="s">
        <v>278</v>
      </c>
      <c r="E30" s="208">
        <f t="shared" si="0"/>
        <v>3</v>
      </c>
      <c r="F30" s="161">
        <v>2</v>
      </c>
      <c r="G30" s="118"/>
      <c r="H30" s="139">
        <v>2</v>
      </c>
      <c r="I30" s="67"/>
      <c r="J30" s="66"/>
      <c r="K30" s="67"/>
      <c r="L30" s="68"/>
      <c r="M30" s="191"/>
      <c r="N30" s="169"/>
      <c r="O30" s="233"/>
      <c r="P30" s="231"/>
      <c r="R30" s="6"/>
      <c r="S30" s="6"/>
      <c r="T30" s="6"/>
    </row>
    <row r="31" spans="1:20" ht="15.6" customHeight="1">
      <c r="A31" s="262"/>
      <c r="B31" s="228"/>
      <c r="C31" s="154" t="s">
        <v>266</v>
      </c>
      <c r="D31" s="192" t="s">
        <v>279</v>
      </c>
      <c r="E31" s="208">
        <f t="shared" si="0"/>
        <v>2</v>
      </c>
      <c r="F31" s="161">
        <v>1</v>
      </c>
      <c r="G31" s="118"/>
      <c r="H31" s="139"/>
      <c r="I31" s="67"/>
      <c r="J31" s="66"/>
      <c r="K31" s="67">
        <v>1</v>
      </c>
      <c r="L31" s="68"/>
      <c r="M31" s="191"/>
      <c r="N31" s="169"/>
      <c r="O31" s="233"/>
      <c r="P31" s="231"/>
      <c r="R31" s="6"/>
      <c r="S31" s="6"/>
      <c r="T31" s="6"/>
    </row>
    <row r="32" spans="1:20" ht="15.6" customHeight="1">
      <c r="A32" s="262"/>
      <c r="B32" s="228"/>
      <c r="C32" s="154" t="s">
        <v>266</v>
      </c>
      <c r="D32" s="192" t="s">
        <v>280</v>
      </c>
      <c r="E32" s="208">
        <f t="shared" si="0"/>
        <v>2</v>
      </c>
      <c r="F32" s="161">
        <v>1</v>
      </c>
      <c r="G32" s="118"/>
      <c r="H32" s="139"/>
      <c r="I32" s="67"/>
      <c r="J32" s="66"/>
      <c r="K32" s="67"/>
      <c r="L32" s="68">
        <v>1</v>
      </c>
      <c r="M32" s="191"/>
      <c r="N32" s="169"/>
      <c r="O32" s="233"/>
      <c r="P32" s="231"/>
      <c r="R32" s="6"/>
      <c r="S32" s="6"/>
      <c r="T32" s="6"/>
    </row>
    <row r="33" spans="1:20" ht="15.6" customHeight="1">
      <c r="A33" s="262"/>
      <c r="B33" s="228"/>
      <c r="C33" s="154" t="s">
        <v>281</v>
      </c>
      <c r="D33" s="192" t="s">
        <v>168</v>
      </c>
      <c r="E33" s="208">
        <f t="shared" si="0"/>
        <v>3</v>
      </c>
      <c r="F33" s="161">
        <v>2</v>
      </c>
      <c r="G33" s="135"/>
      <c r="H33" s="139"/>
      <c r="I33" s="67">
        <v>2</v>
      </c>
      <c r="J33" s="66"/>
      <c r="K33" s="67"/>
      <c r="L33" s="68"/>
      <c r="M33" s="191"/>
      <c r="N33" s="169"/>
      <c r="O33" s="233"/>
      <c r="P33" s="231"/>
      <c r="R33" s="6"/>
      <c r="S33" s="6"/>
      <c r="T33" s="6"/>
    </row>
    <row r="34" spans="1:20" ht="15.6" customHeight="1">
      <c r="A34" s="262"/>
      <c r="B34" s="229"/>
      <c r="C34" s="170" t="s">
        <v>281</v>
      </c>
      <c r="D34" s="194" t="s">
        <v>169</v>
      </c>
      <c r="E34" s="156">
        <f t="shared" si="0"/>
        <v>3</v>
      </c>
      <c r="F34" s="160">
        <v>2</v>
      </c>
      <c r="G34" s="136"/>
      <c r="H34" s="141"/>
      <c r="I34" s="74"/>
      <c r="J34" s="75">
        <v>2</v>
      </c>
      <c r="K34" s="74"/>
      <c r="L34" s="75"/>
      <c r="M34" s="194"/>
      <c r="N34" s="170"/>
      <c r="O34" s="234"/>
      <c r="P34" s="258"/>
      <c r="R34" s="6"/>
      <c r="S34" s="6"/>
      <c r="T34" s="6"/>
    </row>
    <row r="35" spans="1:20" ht="15.6" customHeight="1">
      <c r="A35" s="262"/>
      <c r="B35" s="227" t="s">
        <v>10</v>
      </c>
      <c r="C35" s="69" t="s">
        <v>266</v>
      </c>
      <c r="D35" s="195" t="s">
        <v>282</v>
      </c>
      <c r="E35" s="215">
        <v>3</v>
      </c>
      <c r="F35" s="158">
        <v>3</v>
      </c>
      <c r="G35" s="115"/>
      <c r="H35" s="140"/>
      <c r="I35" s="71"/>
      <c r="J35" s="70">
        <v>3</v>
      </c>
      <c r="K35" s="71"/>
      <c r="L35" s="72"/>
      <c r="M35" s="196" t="s">
        <v>339</v>
      </c>
      <c r="N35" s="69"/>
      <c r="O35" s="235">
        <f>SUM(F35:F51)</f>
        <v>54</v>
      </c>
      <c r="P35" s="230">
        <v>10</v>
      </c>
      <c r="R35" s="6"/>
      <c r="S35" s="6"/>
      <c r="T35" s="6"/>
    </row>
    <row r="36" spans="1:20" ht="15.6" customHeight="1">
      <c r="A36" s="262"/>
      <c r="B36" s="228"/>
      <c r="C36" s="154" t="s">
        <v>266</v>
      </c>
      <c r="D36" s="192" t="s">
        <v>283</v>
      </c>
      <c r="E36" s="208">
        <v>3</v>
      </c>
      <c r="F36" s="161">
        <v>3</v>
      </c>
      <c r="G36" s="118"/>
      <c r="H36" s="139"/>
      <c r="I36" s="67"/>
      <c r="J36" s="66"/>
      <c r="K36" s="67">
        <v>3</v>
      </c>
      <c r="L36" s="68"/>
      <c r="M36" s="191" t="s">
        <v>306</v>
      </c>
      <c r="N36" s="169"/>
      <c r="O36" s="233"/>
      <c r="P36" s="231"/>
      <c r="R36" s="6"/>
      <c r="S36" s="6"/>
      <c r="T36" s="6"/>
    </row>
    <row r="37" spans="1:20" ht="15.6" customHeight="1">
      <c r="A37" s="262"/>
      <c r="B37" s="228"/>
      <c r="C37" s="154" t="s">
        <v>266</v>
      </c>
      <c r="D37" s="192" t="s">
        <v>284</v>
      </c>
      <c r="E37" s="208">
        <v>3</v>
      </c>
      <c r="F37" s="161">
        <v>2</v>
      </c>
      <c r="G37" s="118"/>
      <c r="H37" s="139"/>
      <c r="I37" s="67">
        <v>2</v>
      </c>
      <c r="J37" s="66"/>
      <c r="K37" s="67"/>
      <c r="L37" s="68"/>
      <c r="M37" s="191" t="s">
        <v>339</v>
      </c>
      <c r="N37" s="169"/>
      <c r="O37" s="233"/>
      <c r="P37" s="231"/>
      <c r="R37" s="6"/>
      <c r="S37" s="6"/>
      <c r="T37" s="6"/>
    </row>
    <row r="38" spans="1:20" ht="15.6" customHeight="1">
      <c r="A38" s="262"/>
      <c r="B38" s="228"/>
      <c r="C38" s="154" t="s">
        <v>266</v>
      </c>
      <c r="D38" s="192" t="s">
        <v>285</v>
      </c>
      <c r="E38" s="208">
        <v>3</v>
      </c>
      <c r="F38" s="161">
        <v>2</v>
      </c>
      <c r="G38" s="118"/>
      <c r="H38" s="139"/>
      <c r="I38" s="67"/>
      <c r="J38" s="66">
        <v>2</v>
      </c>
      <c r="K38" s="67"/>
      <c r="L38" s="68"/>
      <c r="M38" s="191" t="s">
        <v>306</v>
      </c>
      <c r="N38" s="169"/>
      <c r="O38" s="233"/>
      <c r="P38" s="231"/>
      <c r="R38" s="6"/>
      <c r="S38" s="6"/>
      <c r="T38" s="6"/>
    </row>
    <row r="39" spans="1:20" ht="15.6" customHeight="1">
      <c r="A39" s="262"/>
      <c r="B39" s="228"/>
      <c r="C39" s="154" t="s">
        <v>266</v>
      </c>
      <c r="D39" s="192" t="s">
        <v>286</v>
      </c>
      <c r="E39" s="208">
        <v>3</v>
      </c>
      <c r="F39" s="161">
        <v>2</v>
      </c>
      <c r="G39" s="118"/>
      <c r="H39" s="139"/>
      <c r="I39" s="67"/>
      <c r="J39" s="66"/>
      <c r="K39" s="67">
        <v>2</v>
      </c>
      <c r="L39" s="68"/>
      <c r="M39" s="191" t="s">
        <v>306</v>
      </c>
      <c r="N39" s="169"/>
      <c r="O39" s="233"/>
      <c r="P39" s="231"/>
      <c r="R39" s="6"/>
      <c r="S39" s="6"/>
      <c r="T39" s="6"/>
    </row>
    <row r="40" spans="1:20" ht="15.6" customHeight="1">
      <c r="A40" s="262"/>
      <c r="B40" s="228"/>
      <c r="C40" s="154" t="s">
        <v>266</v>
      </c>
      <c r="D40" s="192" t="s">
        <v>287</v>
      </c>
      <c r="E40" s="208">
        <v>3</v>
      </c>
      <c r="F40" s="161">
        <v>2</v>
      </c>
      <c r="G40" s="118"/>
      <c r="H40" s="139"/>
      <c r="I40" s="67"/>
      <c r="J40" s="66"/>
      <c r="K40" s="67"/>
      <c r="L40" s="68">
        <v>2</v>
      </c>
      <c r="M40" s="191" t="s">
        <v>306</v>
      </c>
      <c r="N40" s="169"/>
      <c r="O40" s="233"/>
      <c r="P40" s="231"/>
      <c r="R40" s="6"/>
      <c r="S40" s="6"/>
      <c r="T40" s="6"/>
    </row>
    <row r="41" spans="1:20" ht="15.6" customHeight="1">
      <c r="A41" s="262"/>
      <c r="B41" s="228"/>
      <c r="C41" s="154" t="s">
        <v>266</v>
      </c>
      <c r="D41" s="192" t="s">
        <v>288</v>
      </c>
      <c r="E41" s="208">
        <v>3</v>
      </c>
      <c r="F41" s="161">
        <v>3</v>
      </c>
      <c r="G41" s="118"/>
      <c r="H41" s="139"/>
      <c r="I41" s="67">
        <v>3</v>
      </c>
      <c r="J41" s="66"/>
      <c r="K41" s="67"/>
      <c r="L41" s="68"/>
      <c r="M41" s="191" t="s">
        <v>339</v>
      </c>
      <c r="N41" s="169"/>
      <c r="O41" s="233"/>
      <c r="P41" s="231"/>
      <c r="R41" s="6"/>
      <c r="S41" s="6"/>
      <c r="T41" s="6"/>
    </row>
    <row r="42" spans="1:20" ht="15.6" customHeight="1">
      <c r="A42" s="262"/>
      <c r="B42" s="228"/>
      <c r="C42" s="154" t="s">
        <v>266</v>
      </c>
      <c r="D42" s="192" t="s">
        <v>289</v>
      </c>
      <c r="E42" s="208">
        <v>3</v>
      </c>
      <c r="F42" s="161">
        <v>3</v>
      </c>
      <c r="G42" s="118"/>
      <c r="H42" s="139"/>
      <c r="I42" s="67"/>
      <c r="J42" s="66"/>
      <c r="K42" s="67"/>
      <c r="L42" s="68">
        <v>3</v>
      </c>
      <c r="M42" s="191" t="s">
        <v>306</v>
      </c>
      <c r="N42" s="169"/>
      <c r="O42" s="233"/>
      <c r="P42" s="231"/>
      <c r="R42" s="6"/>
      <c r="S42" s="6"/>
      <c r="T42" s="6"/>
    </row>
    <row r="43" spans="1:20" ht="15.6" customHeight="1">
      <c r="A43" s="262"/>
      <c r="B43" s="228"/>
      <c r="C43" s="154" t="s">
        <v>266</v>
      </c>
      <c r="D43" s="192" t="s">
        <v>290</v>
      </c>
      <c r="E43" s="208">
        <v>3</v>
      </c>
      <c r="F43" s="161">
        <v>3</v>
      </c>
      <c r="G43" s="118"/>
      <c r="H43" s="139"/>
      <c r="I43" s="67"/>
      <c r="J43" s="66"/>
      <c r="K43" s="67">
        <v>3</v>
      </c>
      <c r="L43" s="68"/>
      <c r="M43" s="191" t="s">
        <v>306</v>
      </c>
      <c r="N43" s="169"/>
      <c r="O43" s="233"/>
      <c r="P43" s="231"/>
      <c r="R43" s="6"/>
      <c r="S43" s="6"/>
      <c r="T43" s="6"/>
    </row>
    <row r="44" spans="1:20" ht="15.6" customHeight="1">
      <c r="A44" s="262"/>
      <c r="B44" s="228"/>
      <c r="C44" s="154" t="s">
        <v>266</v>
      </c>
      <c r="D44" s="192" t="s">
        <v>291</v>
      </c>
      <c r="E44" s="208">
        <v>3</v>
      </c>
      <c r="F44" s="161">
        <v>3</v>
      </c>
      <c r="G44" s="118"/>
      <c r="H44" s="139"/>
      <c r="I44" s="67"/>
      <c r="J44" s="66"/>
      <c r="K44" s="67"/>
      <c r="L44" s="68">
        <v>3</v>
      </c>
      <c r="M44" s="191" t="s">
        <v>306</v>
      </c>
      <c r="N44" s="169"/>
      <c r="O44" s="233"/>
      <c r="P44" s="231"/>
      <c r="R44" s="6"/>
      <c r="S44" s="6"/>
      <c r="T44" s="6"/>
    </row>
    <row r="45" spans="1:20" ht="15.6" customHeight="1">
      <c r="A45" s="262"/>
      <c r="B45" s="228"/>
      <c r="C45" s="154" t="s">
        <v>266</v>
      </c>
      <c r="D45" s="192" t="s">
        <v>292</v>
      </c>
      <c r="E45" s="208">
        <v>3</v>
      </c>
      <c r="F45" s="161">
        <v>4</v>
      </c>
      <c r="G45" s="118">
        <v>3</v>
      </c>
      <c r="H45" s="139"/>
      <c r="I45" s="67"/>
      <c r="J45" s="66"/>
      <c r="K45" s="67"/>
      <c r="L45" s="68"/>
      <c r="M45" s="191" t="s">
        <v>306</v>
      </c>
      <c r="N45" s="169"/>
      <c r="O45" s="233"/>
      <c r="P45" s="231"/>
      <c r="R45" s="6"/>
      <c r="S45" s="6"/>
      <c r="T45" s="6"/>
    </row>
    <row r="46" spans="1:20" ht="15.6" customHeight="1">
      <c r="A46" s="262"/>
      <c r="B46" s="228"/>
      <c r="C46" s="154" t="s">
        <v>266</v>
      </c>
      <c r="D46" s="192" t="s">
        <v>293</v>
      </c>
      <c r="E46" s="208">
        <v>3</v>
      </c>
      <c r="F46" s="161">
        <v>4</v>
      </c>
      <c r="G46" s="118"/>
      <c r="H46" s="139">
        <v>3</v>
      </c>
      <c r="I46" s="67"/>
      <c r="J46" s="66"/>
      <c r="K46" s="67"/>
      <c r="L46" s="68"/>
      <c r="M46" s="191" t="s">
        <v>306</v>
      </c>
      <c r="N46" s="169"/>
      <c r="O46" s="233"/>
      <c r="P46" s="231"/>
      <c r="R46" s="6"/>
      <c r="S46" s="6"/>
      <c r="T46" s="6"/>
    </row>
    <row r="47" spans="1:20" ht="15.6" customHeight="1">
      <c r="A47" s="262"/>
      <c r="B47" s="228"/>
      <c r="C47" s="154" t="s">
        <v>266</v>
      </c>
      <c r="D47" s="192" t="s">
        <v>294</v>
      </c>
      <c r="E47" s="208">
        <v>3</v>
      </c>
      <c r="F47" s="161">
        <v>4</v>
      </c>
      <c r="G47" s="118"/>
      <c r="H47" s="139"/>
      <c r="I47" s="67">
        <v>4</v>
      </c>
      <c r="J47" s="66"/>
      <c r="K47" s="67"/>
      <c r="L47" s="68"/>
      <c r="M47" s="191" t="s">
        <v>306</v>
      </c>
      <c r="N47" s="169"/>
      <c r="O47" s="233"/>
      <c r="P47" s="231"/>
      <c r="R47" s="6"/>
      <c r="S47" s="6"/>
      <c r="T47" s="6"/>
    </row>
    <row r="48" spans="1:20" ht="15.6" customHeight="1">
      <c r="A48" s="262"/>
      <c r="B48" s="228"/>
      <c r="C48" s="154" t="s">
        <v>266</v>
      </c>
      <c r="D48" s="192" t="s">
        <v>295</v>
      </c>
      <c r="E48" s="208">
        <v>3</v>
      </c>
      <c r="F48" s="161">
        <v>4</v>
      </c>
      <c r="G48" s="118"/>
      <c r="H48" s="139"/>
      <c r="I48" s="67"/>
      <c r="J48" s="66">
        <v>4</v>
      </c>
      <c r="K48" s="67"/>
      <c r="L48" s="68"/>
      <c r="M48" s="191" t="s">
        <v>306</v>
      </c>
      <c r="N48" s="169"/>
      <c r="O48" s="233"/>
      <c r="P48" s="231"/>
      <c r="R48" s="6"/>
      <c r="S48" s="6"/>
      <c r="T48" s="6"/>
    </row>
    <row r="49" spans="1:20" ht="15.6" customHeight="1">
      <c r="A49" s="262"/>
      <c r="B49" s="228"/>
      <c r="C49" s="154" t="s">
        <v>266</v>
      </c>
      <c r="D49" s="192" t="s">
        <v>296</v>
      </c>
      <c r="E49" s="208">
        <v>3</v>
      </c>
      <c r="F49" s="161">
        <v>4</v>
      </c>
      <c r="G49" s="118"/>
      <c r="H49" s="139"/>
      <c r="I49" s="67"/>
      <c r="J49" s="66"/>
      <c r="K49" s="67">
        <v>4</v>
      </c>
      <c r="L49" s="68"/>
      <c r="M49" s="191" t="s">
        <v>306</v>
      </c>
      <c r="N49" s="169"/>
      <c r="O49" s="233"/>
      <c r="P49" s="231"/>
      <c r="R49" s="6"/>
      <c r="S49" s="6"/>
      <c r="T49" s="6"/>
    </row>
    <row r="50" spans="1:20" ht="15.6" customHeight="1">
      <c r="A50" s="262"/>
      <c r="B50" s="228"/>
      <c r="C50" s="154" t="s">
        <v>266</v>
      </c>
      <c r="D50" s="192" t="s">
        <v>297</v>
      </c>
      <c r="E50" s="208">
        <v>3</v>
      </c>
      <c r="F50" s="161">
        <v>4</v>
      </c>
      <c r="G50" s="118"/>
      <c r="H50" s="139"/>
      <c r="I50" s="67"/>
      <c r="J50" s="66"/>
      <c r="K50" s="67"/>
      <c r="L50" s="68">
        <v>4</v>
      </c>
      <c r="M50" s="191" t="s">
        <v>306</v>
      </c>
      <c r="N50" s="169"/>
      <c r="O50" s="233"/>
      <c r="P50" s="231"/>
      <c r="R50" s="6"/>
      <c r="S50" s="6"/>
      <c r="T50" s="6"/>
    </row>
    <row r="51" spans="1:20" ht="15.6" customHeight="1">
      <c r="A51" s="262"/>
      <c r="B51" s="229"/>
      <c r="C51" s="101" t="s">
        <v>266</v>
      </c>
      <c r="D51" s="198" t="s">
        <v>298</v>
      </c>
      <c r="E51" s="182">
        <v>3</v>
      </c>
      <c r="F51" s="156">
        <v>4</v>
      </c>
      <c r="G51" s="136"/>
      <c r="H51" s="141"/>
      <c r="I51" s="74"/>
      <c r="J51" s="75"/>
      <c r="K51" s="74"/>
      <c r="L51" s="75">
        <v>3</v>
      </c>
      <c r="M51" s="198" t="s">
        <v>339</v>
      </c>
      <c r="N51" s="172"/>
      <c r="O51" s="234"/>
      <c r="P51" s="258"/>
      <c r="R51" s="6"/>
      <c r="S51" s="6"/>
      <c r="T51" s="6"/>
    </row>
    <row r="52" spans="1:20" ht="15.6" customHeight="1">
      <c r="A52" s="262"/>
      <c r="B52" s="227" t="s">
        <v>189</v>
      </c>
      <c r="C52" s="69" t="s">
        <v>265</v>
      </c>
      <c r="D52" s="195" t="s">
        <v>75</v>
      </c>
      <c r="E52" s="215">
        <f t="shared" si="0"/>
        <v>3</v>
      </c>
      <c r="F52" s="158">
        <v>2</v>
      </c>
      <c r="G52" s="115"/>
      <c r="H52" s="140"/>
      <c r="I52" s="71"/>
      <c r="J52" s="70"/>
      <c r="K52" s="71">
        <v>2</v>
      </c>
      <c r="L52" s="72"/>
      <c r="M52" s="196"/>
      <c r="N52" s="69"/>
      <c r="O52" s="243">
        <f>SUM(F52:F53)</f>
        <v>4</v>
      </c>
      <c r="P52" s="231"/>
      <c r="R52" s="6"/>
      <c r="S52" s="6"/>
      <c r="T52" s="6"/>
    </row>
    <row r="53" spans="1:20" ht="15.6" customHeight="1" thickBot="1">
      <c r="A53" s="316"/>
      <c r="B53" s="260"/>
      <c r="C53" s="42" t="s">
        <v>281</v>
      </c>
      <c r="D53" s="199" t="s">
        <v>299</v>
      </c>
      <c r="E53" s="128">
        <f t="shared" si="0"/>
        <v>3</v>
      </c>
      <c r="F53" s="128">
        <v>2</v>
      </c>
      <c r="G53" s="127"/>
      <c r="H53" s="150"/>
      <c r="I53" s="44"/>
      <c r="J53" s="43"/>
      <c r="K53" s="44"/>
      <c r="L53" s="51">
        <v>2</v>
      </c>
      <c r="M53" s="200"/>
      <c r="N53" s="170"/>
      <c r="O53" s="245"/>
      <c r="P53" s="232"/>
      <c r="R53" s="6"/>
      <c r="S53" s="6"/>
      <c r="T53" s="6"/>
    </row>
    <row r="54" spans="1:20" ht="15.6" customHeight="1">
      <c r="A54" s="261" t="s">
        <v>303</v>
      </c>
      <c r="B54" s="236" t="s">
        <v>304</v>
      </c>
      <c r="C54" s="29" t="s">
        <v>266</v>
      </c>
      <c r="D54" s="189" t="s">
        <v>305</v>
      </c>
      <c r="E54" s="216">
        <v>3</v>
      </c>
      <c r="F54" s="320">
        <v>2</v>
      </c>
      <c r="G54" s="321">
        <v>2</v>
      </c>
      <c r="H54" s="322"/>
      <c r="I54" s="8"/>
      <c r="J54" s="323"/>
      <c r="K54" s="8"/>
      <c r="L54" s="30"/>
      <c r="M54" s="324" t="s">
        <v>306</v>
      </c>
      <c r="N54" s="223"/>
      <c r="O54" s="325">
        <v>4</v>
      </c>
      <c r="P54" s="250"/>
      <c r="R54" s="6"/>
      <c r="S54" s="6"/>
      <c r="T54" s="6"/>
    </row>
    <row r="55" spans="1:20" ht="15.6" customHeight="1">
      <c r="A55" s="262"/>
      <c r="B55" s="228"/>
      <c r="C55" s="9" t="s">
        <v>266</v>
      </c>
      <c r="D55" s="192" t="s">
        <v>307</v>
      </c>
      <c r="E55" s="208">
        <v>3</v>
      </c>
      <c r="F55" s="118">
        <v>2</v>
      </c>
      <c r="G55" s="326" t="s">
        <v>308</v>
      </c>
      <c r="H55" s="326"/>
      <c r="I55" s="11"/>
      <c r="J55" s="52"/>
      <c r="K55" s="11"/>
      <c r="L55" s="12"/>
      <c r="M55" s="191" t="s">
        <v>306</v>
      </c>
      <c r="N55" s="169"/>
      <c r="O55" s="327"/>
      <c r="P55" s="251"/>
      <c r="R55" s="6"/>
      <c r="S55" s="6"/>
      <c r="T55" s="6"/>
    </row>
    <row r="56" spans="1:20" ht="15.6" customHeight="1">
      <c r="A56" s="262"/>
      <c r="B56" s="228"/>
      <c r="C56" s="9" t="s">
        <v>266</v>
      </c>
      <c r="D56" s="192" t="s">
        <v>309</v>
      </c>
      <c r="E56" s="208">
        <v>3</v>
      </c>
      <c r="F56" s="118">
        <v>2</v>
      </c>
      <c r="G56" s="328"/>
      <c r="H56" s="329">
        <v>2</v>
      </c>
      <c r="I56" s="31"/>
      <c r="J56" s="52"/>
      <c r="K56" s="11"/>
      <c r="L56" s="12"/>
      <c r="M56" s="191" t="s">
        <v>306</v>
      </c>
      <c r="N56" s="169"/>
      <c r="O56" s="327"/>
      <c r="P56" s="251"/>
      <c r="R56" s="6"/>
      <c r="S56" s="6"/>
      <c r="T56" s="6"/>
    </row>
    <row r="57" spans="1:20" ht="15.6" customHeight="1" thickBot="1">
      <c r="A57" s="316"/>
      <c r="B57" s="260"/>
      <c r="C57" s="42" t="s">
        <v>266</v>
      </c>
      <c r="D57" s="330" t="s">
        <v>310</v>
      </c>
      <c r="E57" s="331">
        <v>3</v>
      </c>
      <c r="F57" s="332">
        <v>2</v>
      </c>
      <c r="G57" s="333"/>
      <c r="H57" s="334" t="s">
        <v>311</v>
      </c>
      <c r="I57" s="335"/>
      <c r="J57" s="55"/>
      <c r="K57" s="44"/>
      <c r="L57" s="51"/>
      <c r="M57" s="200" t="s">
        <v>306</v>
      </c>
      <c r="N57" s="336"/>
      <c r="O57" s="337"/>
      <c r="P57" s="338"/>
      <c r="R57" s="6"/>
      <c r="S57" s="6"/>
      <c r="T57" s="6"/>
    </row>
    <row r="58" spans="1:20" ht="15.6" customHeight="1">
      <c r="A58" s="277" t="s">
        <v>18</v>
      </c>
      <c r="B58" s="236" t="s">
        <v>312</v>
      </c>
      <c r="C58" s="29" t="s">
        <v>265</v>
      </c>
      <c r="D58" s="189" t="s">
        <v>64</v>
      </c>
      <c r="E58" s="216">
        <f t="shared" si="0"/>
        <v>4</v>
      </c>
      <c r="F58" s="163">
        <v>3</v>
      </c>
      <c r="G58" s="217"/>
      <c r="H58" s="146"/>
      <c r="I58" s="313" t="s">
        <v>332</v>
      </c>
      <c r="J58" s="218"/>
      <c r="K58" s="8"/>
      <c r="L58" s="30"/>
      <c r="M58" s="204"/>
      <c r="N58" s="174"/>
      <c r="O58" s="246"/>
      <c r="P58" s="250"/>
      <c r="R58" s="6"/>
      <c r="S58" s="6"/>
      <c r="T58" s="6"/>
    </row>
    <row r="59" spans="1:20" ht="15.6" customHeight="1">
      <c r="A59" s="278"/>
      <c r="B59" s="228"/>
      <c r="C59" s="9" t="s">
        <v>265</v>
      </c>
      <c r="D59" s="192" t="s">
        <v>120</v>
      </c>
      <c r="E59" s="208">
        <f t="shared" si="0"/>
        <v>4</v>
      </c>
      <c r="F59" s="183">
        <v>3</v>
      </c>
      <c r="G59" s="53"/>
      <c r="H59" s="144"/>
      <c r="I59" s="314"/>
      <c r="J59" s="209"/>
      <c r="K59" s="11"/>
      <c r="L59" s="12"/>
      <c r="M59" s="202"/>
      <c r="N59" s="169"/>
      <c r="O59" s="246"/>
      <c r="P59" s="251"/>
      <c r="R59" s="6"/>
      <c r="S59" s="6"/>
      <c r="T59" s="6"/>
    </row>
    <row r="60" spans="1:20" ht="15.6" customHeight="1">
      <c r="A60" s="278"/>
      <c r="B60" s="228"/>
      <c r="C60" s="9" t="s">
        <v>266</v>
      </c>
      <c r="D60" s="192" t="s">
        <v>313</v>
      </c>
      <c r="E60" s="208">
        <f t="shared" si="0"/>
        <v>4</v>
      </c>
      <c r="F60" s="183">
        <v>3</v>
      </c>
      <c r="G60" s="53"/>
      <c r="H60" s="144"/>
      <c r="I60" s="314"/>
      <c r="J60" s="209"/>
      <c r="K60" s="11"/>
      <c r="L60" s="12"/>
      <c r="M60" s="202"/>
      <c r="N60" s="169"/>
      <c r="O60" s="246"/>
      <c r="P60" s="251"/>
      <c r="R60" s="6"/>
      <c r="S60" s="6"/>
      <c r="T60" s="6"/>
    </row>
    <row r="61" spans="1:20" ht="15.6" customHeight="1">
      <c r="A61" s="278"/>
      <c r="B61" s="229"/>
      <c r="C61" s="109" t="s">
        <v>266</v>
      </c>
      <c r="D61" s="197" t="s">
        <v>144</v>
      </c>
      <c r="E61" s="156">
        <f t="shared" si="0"/>
        <v>4</v>
      </c>
      <c r="F61" s="156">
        <v>3</v>
      </c>
      <c r="G61" s="136"/>
      <c r="H61" s="141"/>
      <c r="I61" s="314"/>
      <c r="J61" s="162"/>
      <c r="K61" s="21"/>
      <c r="L61" s="22"/>
      <c r="M61" s="201"/>
      <c r="N61" s="170"/>
      <c r="O61" s="246"/>
      <c r="P61" s="251"/>
      <c r="R61" s="6"/>
      <c r="S61" s="6"/>
      <c r="T61" s="6"/>
    </row>
    <row r="62" spans="1:20" ht="15.6" customHeight="1">
      <c r="A62" s="262"/>
      <c r="B62" s="227" t="s">
        <v>242</v>
      </c>
      <c r="C62" s="17" t="s">
        <v>265</v>
      </c>
      <c r="D62" s="195" t="s">
        <v>314</v>
      </c>
      <c r="E62" s="215">
        <f t="shared" si="0"/>
        <v>4</v>
      </c>
      <c r="F62" s="215">
        <v>3</v>
      </c>
      <c r="G62" s="219"/>
      <c r="H62" s="143"/>
      <c r="I62" s="314"/>
      <c r="J62" s="164"/>
      <c r="K62" s="15"/>
      <c r="L62" s="16"/>
      <c r="M62" s="203"/>
      <c r="N62" s="69"/>
      <c r="O62" s="246"/>
      <c r="P62" s="251"/>
      <c r="R62" s="6"/>
      <c r="S62" s="6"/>
      <c r="T62" s="6"/>
    </row>
    <row r="63" spans="1:20" ht="15.6" customHeight="1">
      <c r="A63" s="262"/>
      <c r="B63" s="228"/>
      <c r="C63" s="9" t="s">
        <v>265</v>
      </c>
      <c r="D63" s="192" t="s">
        <v>315</v>
      </c>
      <c r="E63" s="208">
        <f t="shared" si="0"/>
        <v>4</v>
      </c>
      <c r="F63" s="208">
        <v>3</v>
      </c>
      <c r="G63" s="53"/>
      <c r="H63" s="144"/>
      <c r="I63" s="314"/>
      <c r="J63" s="209"/>
      <c r="K63" s="11"/>
      <c r="L63" s="12"/>
      <c r="M63" s="202"/>
      <c r="N63" s="169"/>
      <c r="O63" s="246"/>
      <c r="P63" s="251"/>
      <c r="R63" s="6"/>
      <c r="S63" s="6"/>
      <c r="T63" s="6"/>
    </row>
    <row r="64" spans="1:20" ht="15.6" customHeight="1">
      <c r="A64" s="262"/>
      <c r="B64" s="228"/>
      <c r="C64" s="9" t="s">
        <v>266</v>
      </c>
      <c r="D64" s="192" t="s">
        <v>148</v>
      </c>
      <c r="E64" s="208">
        <f t="shared" si="0"/>
        <v>4</v>
      </c>
      <c r="F64" s="183">
        <v>3</v>
      </c>
      <c r="G64" s="53"/>
      <c r="H64" s="144"/>
      <c r="I64" s="314"/>
      <c r="J64" s="209"/>
      <c r="K64" s="11"/>
      <c r="L64" s="12"/>
      <c r="M64" s="202"/>
      <c r="N64" s="169"/>
      <c r="O64" s="246"/>
      <c r="P64" s="251"/>
      <c r="R64" s="6"/>
      <c r="S64" s="6"/>
      <c r="T64" s="6"/>
    </row>
    <row r="65" spans="1:20" ht="15.6" customHeight="1">
      <c r="A65" s="262"/>
      <c r="B65" s="229"/>
      <c r="C65" s="109" t="s">
        <v>266</v>
      </c>
      <c r="D65" s="197" t="s">
        <v>149</v>
      </c>
      <c r="E65" s="156">
        <f t="shared" si="0"/>
        <v>4</v>
      </c>
      <c r="F65" s="159">
        <v>3</v>
      </c>
      <c r="G65" s="136"/>
      <c r="H65" s="141"/>
      <c r="I65" s="314"/>
      <c r="J65" s="162"/>
      <c r="K65" s="21"/>
      <c r="L65" s="22"/>
      <c r="M65" s="201"/>
      <c r="N65" s="170"/>
      <c r="O65" s="246"/>
      <c r="P65" s="251"/>
    </row>
    <row r="66" spans="1:20" ht="15.6" customHeight="1">
      <c r="A66" s="262"/>
      <c r="B66" s="226" t="s">
        <v>188</v>
      </c>
      <c r="C66" s="17" t="s">
        <v>266</v>
      </c>
      <c r="D66" s="195" t="s">
        <v>154</v>
      </c>
      <c r="E66" s="215">
        <f t="shared" si="0"/>
        <v>4</v>
      </c>
      <c r="F66" s="115">
        <v>3</v>
      </c>
      <c r="G66" s="120"/>
      <c r="H66" s="143"/>
      <c r="I66" s="314"/>
      <c r="J66" s="164"/>
      <c r="K66" s="15"/>
      <c r="L66" s="16"/>
      <c r="M66" s="203"/>
      <c r="N66" s="69"/>
      <c r="O66" s="246"/>
      <c r="P66" s="251"/>
    </row>
    <row r="67" spans="1:20" ht="15.6" customHeight="1">
      <c r="A67" s="262"/>
      <c r="B67" s="227" t="s">
        <v>243</v>
      </c>
      <c r="C67" s="17" t="s">
        <v>265</v>
      </c>
      <c r="D67" s="195" t="s">
        <v>335</v>
      </c>
      <c r="E67" s="215">
        <f t="shared" si="0"/>
        <v>4</v>
      </c>
      <c r="F67" s="115">
        <v>3</v>
      </c>
      <c r="G67" s="120"/>
      <c r="H67" s="147"/>
      <c r="I67" s="314"/>
      <c r="J67" s="220"/>
      <c r="K67" s="33"/>
      <c r="L67" s="34"/>
      <c r="M67" s="203"/>
      <c r="N67" s="171"/>
      <c r="O67" s="246"/>
      <c r="P67" s="251"/>
    </row>
    <row r="68" spans="1:20" ht="15.6" customHeight="1">
      <c r="A68" s="262"/>
      <c r="B68" s="228"/>
      <c r="C68" s="9" t="s">
        <v>265</v>
      </c>
      <c r="D68" s="192" t="s">
        <v>316</v>
      </c>
      <c r="E68" s="208">
        <f t="shared" si="0"/>
        <v>4</v>
      </c>
      <c r="F68" s="118">
        <v>3</v>
      </c>
      <c r="G68" s="45"/>
      <c r="H68" s="148"/>
      <c r="I68" s="314"/>
      <c r="J68" s="221"/>
      <c r="K68" s="35"/>
      <c r="L68" s="36"/>
      <c r="M68" s="202"/>
      <c r="N68" s="169"/>
      <c r="O68" s="246"/>
      <c r="P68" s="251"/>
    </row>
    <row r="69" spans="1:20" ht="15.6" customHeight="1">
      <c r="A69" s="262"/>
      <c r="B69" s="229"/>
      <c r="C69" s="18" t="s">
        <v>265</v>
      </c>
      <c r="D69" s="197" t="s">
        <v>336</v>
      </c>
      <c r="E69" s="156">
        <f t="shared" si="0"/>
        <v>4</v>
      </c>
      <c r="F69" s="156">
        <v>3</v>
      </c>
      <c r="G69" s="121"/>
      <c r="H69" s="149"/>
      <c r="I69" s="339"/>
      <c r="J69" s="37"/>
      <c r="K69" s="38"/>
      <c r="L69" s="39"/>
      <c r="M69" s="193"/>
      <c r="N69" s="101"/>
      <c r="O69" s="246"/>
      <c r="P69" s="251"/>
    </row>
    <row r="70" spans="1:20" ht="15.6" customHeight="1">
      <c r="A70" s="262"/>
      <c r="B70" s="227" t="s">
        <v>304</v>
      </c>
      <c r="C70" s="17" t="s">
        <v>266</v>
      </c>
      <c r="D70" s="195" t="s">
        <v>317</v>
      </c>
      <c r="E70" s="215">
        <v>3</v>
      </c>
      <c r="F70" s="115">
        <v>4</v>
      </c>
      <c r="G70" s="120"/>
      <c r="H70" s="147"/>
      <c r="I70" s="314" t="s">
        <v>333</v>
      </c>
      <c r="J70" s="54"/>
      <c r="K70" s="13"/>
      <c r="L70" s="32"/>
      <c r="M70" s="203" t="s">
        <v>306</v>
      </c>
      <c r="N70" s="171"/>
      <c r="O70" s="246"/>
      <c r="P70" s="251"/>
    </row>
    <row r="71" spans="1:20" ht="15.6" customHeight="1" thickBot="1">
      <c r="A71" s="262"/>
      <c r="B71" s="229"/>
      <c r="C71" s="24" t="s">
        <v>266</v>
      </c>
      <c r="D71" s="197" t="s">
        <v>318</v>
      </c>
      <c r="E71" s="156">
        <v>3</v>
      </c>
      <c r="F71" s="114">
        <v>4</v>
      </c>
      <c r="G71" s="138"/>
      <c r="H71" s="145"/>
      <c r="I71" s="315"/>
      <c r="J71" s="41"/>
      <c r="K71" s="40"/>
      <c r="L71" s="20"/>
      <c r="M71" s="193" t="s">
        <v>306</v>
      </c>
      <c r="N71" s="170"/>
      <c r="O71" s="246"/>
      <c r="P71" s="251"/>
    </row>
    <row r="72" spans="1:20" ht="15.6" customHeight="1">
      <c r="A72" s="263"/>
      <c r="B72" s="236" t="s">
        <v>312</v>
      </c>
      <c r="C72" s="29" t="s">
        <v>265</v>
      </c>
      <c r="D72" s="189" t="s">
        <v>121</v>
      </c>
      <c r="E72" s="216">
        <f t="shared" ref="E71:E102" si="1">IFERROR(VLOOKUP(D72, 기본학점, 2, FALSE), "")</f>
        <v>4</v>
      </c>
      <c r="F72" s="163">
        <v>3</v>
      </c>
      <c r="G72" s="217"/>
      <c r="H72" s="146"/>
      <c r="I72" s="8"/>
      <c r="J72" s="279" t="s">
        <v>332</v>
      </c>
      <c r="K72" s="8"/>
      <c r="L72" s="30"/>
      <c r="M72" s="204"/>
      <c r="N72" s="223"/>
      <c r="O72" s="247"/>
      <c r="P72" s="252"/>
      <c r="R72" s="6"/>
      <c r="S72" s="6"/>
      <c r="T72" s="6"/>
    </row>
    <row r="73" spans="1:20" ht="15.6" customHeight="1">
      <c r="A73" s="263"/>
      <c r="B73" s="228"/>
      <c r="C73" s="9" t="s">
        <v>266</v>
      </c>
      <c r="D73" s="192" t="s">
        <v>141</v>
      </c>
      <c r="E73" s="208">
        <f t="shared" si="1"/>
        <v>4</v>
      </c>
      <c r="F73" s="183">
        <v>3</v>
      </c>
      <c r="G73" s="53"/>
      <c r="H73" s="144"/>
      <c r="I73" s="11"/>
      <c r="J73" s="280"/>
      <c r="K73" s="11"/>
      <c r="L73" s="12"/>
      <c r="M73" s="202"/>
      <c r="N73" s="169"/>
      <c r="O73" s="247"/>
      <c r="P73" s="252"/>
      <c r="R73" s="6"/>
      <c r="S73" s="6"/>
      <c r="T73" s="6"/>
    </row>
    <row r="74" spans="1:20" ht="15.6" customHeight="1">
      <c r="A74" s="263"/>
      <c r="B74" s="228"/>
      <c r="C74" s="9" t="s">
        <v>266</v>
      </c>
      <c r="D74" s="192" t="s">
        <v>319</v>
      </c>
      <c r="E74" s="208">
        <f t="shared" si="1"/>
        <v>4</v>
      </c>
      <c r="F74" s="183">
        <v>3</v>
      </c>
      <c r="G74" s="53"/>
      <c r="H74" s="144"/>
      <c r="I74" s="11"/>
      <c r="J74" s="280"/>
      <c r="K74" s="11"/>
      <c r="L74" s="12"/>
      <c r="M74" s="202"/>
      <c r="N74" s="169"/>
      <c r="O74" s="247"/>
      <c r="P74" s="252"/>
      <c r="R74" s="6"/>
      <c r="S74" s="6"/>
      <c r="T74" s="6"/>
    </row>
    <row r="75" spans="1:20" ht="15.6" customHeight="1">
      <c r="A75" s="263"/>
      <c r="B75" s="228"/>
      <c r="C75" s="9" t="s">
        <v>265</v>
      </c>
      <c r="D75" s="192" t="s">
        <v>122</v>
      </c>
      <c r="E75" s="208">
        <f t="shared" si="1"/>
        <v>4</v>
      </c>
      <c r="F75" s="183">
        <v>3</v>
      </c>
      <c r="G75" s="53"/>
      <c r="H75" s="144"/>
      <c r="I75" s="222"/>
      <c r="J75" s="280"/>
      <c r="K75" s="11"/>
      <c r="L75" s="10"/>
      <c r="M75" s="202"/>
      <c r="N75" s="169"/>
      <c r="O75" s="247"/>
      <c r="P75" s="252"/>
      <c r="R75" s="6"/>
      <c r="S75" s="6"/>
      <c r="T75" s="6"/>
    </row>
    <row r="76" spans="1:20" ht="15.6" customHeight="1">
      <c r="A76" s="263"/>
      <c r="B76" s="227" t="s">
        <v>242</v>
      </c>
      <c r="C76" s="17" t="s">
        <v>265</v>
      </c>
      <c r="D76" s="195" t="s">
        <v>323</v>
      </c>
      <c r="E76" s="215">
        <f t="shared" si="1"/>
        <v>4</v>
      </c>
      <c r="F76" s="158">
        <v>3</v>
      </c>
      <c r="G76" s="120"/>
      <c r="H76" s="143"/>
      <c r="I76" s="15"/>
      <c r="J76" s="280"/>
      <c r="K76" s="15"/>
      <c r="L76" s="16"/>
      <c r="M76" s="203"/>
      <c r="N76" s="69"/>
      <c r="O76" s="247"/>
      <c r="P76" s="252"/>
    </row>
    <row r="77" spans="1:20" ht="15.6" customHeight="1">
      <c r="A77" s="263"/>
      <c r="B77" s="228"/>
      <c r="C77" s="9" t="s">
        <v>265</v>
      </c>
      <c r="D77" s="192" t="s">
        <v>320</v>
      </c>
      <c r="E77" s="208">
        <f t="shared" si="1"/>
        <v>4</v>
      </c>
      <c r="F77" s="161">
        <v>3</v>
      </c>
      <c r="G77" s="45"/>
      <c r="H77" s="144"/>
      <c r="I77" s="11"/>
      <c r="J77" s="280"/>
      <c r="K77" s="11"/>
      <c r="L77" s="12"/>
      <c r="M77" s="202"/>
      <c r="N77" s="169"/>
      <c r="O77" s="247"/>
      <c r="P77" s="252"/>
    </row>
    <row r="78" spans="1:20" ht="15.6" customHeight="1">
      <c r="A78" s="263"/>
      <c r="B78" s="228"/>
      <c r="C78" s="9" t="s">
        <v>266</v>
      </c>
      <c r="D78" s="192" t="s">
        <v>66</v>
      </c>
      <c r="E78" s="208">
        <f t="shared" si="1"/>
        <v>4</v>
      </c>
      <c r="F78" s="161">
        <v>3</v>
      </c>
      <c r="G78" s="45"/>
      <c r="H78" s="144"/>
      <c r="I78" s="11"/>
      <c r="J78" s="280"/>
      <c r="K78" s="11"/>
      <c r="L78" s="12"/>
      <c r="M78" s="202"/>
      <c r="N78" s="169"/>
      <c r="O78" s="247"/>
      <c r="P78" s="252"/>
    </row>
    <row r="79" spans="1:20" ht="15.6" customHeight="1">
      <c r="A79" s="263"/>
      <c r="B79" s="229"/>
      <c r="C79" s="18" t="s">
        <v>266</v>
      </c>
      <c r="D79" s="197" t="s">
        <v>68</v>
      </c>
      <c r="E79" s="156">
        <f t="shared" si="1"/>
        <v>4</v>
      </c>
      <c r="F79" s="156">
        <v>3</v>
      </c>
      <c r="G79" s="121"/>
      <c r="H79" s="145"/>
      <c r="I79" s="19"/>
      <c r="J79" s="280"/>
      <c r="K79" s="21"/>
      <c r="L79" s="22"/>
      <c r="M79" s="193"/>
      <c r="N79" s="101"/>
      <c r="O79" s="247"/>
      <c r="P79" s="252"/>
    </row>
    <row r="80" spans="1:20" ht="15.6" customHeight="1">
      <c r="A80" s="263"/>
      <c r="B80" s="226" t="s">
        <v>188</v>
      </c>
      <c r="C80" s="17" t="s">
        <v>265</v>
      </c>
      <c r="D80" s="195" t="s">
        <v>47</v>
      </c>
      <c r="E80" s="215">
        <f t="shared" si="1"/>
        <v>4</v>
      </c>
      <c r="F80" s="158">
        <v>3</v>
      </c>
      <c r="G80" s="120"/>
      <c r="H80" s="143"/>
      <c r="I80" s="15"/>
      <c r="J80" s="280"/>
      <c r="K80" s="15"/>
      <c r="L80" s="16"/>
      <c r="M80" s="203"/>
      <c r="N80" s="171"/>
      <c r="O80" s="247"/>
      <c r="P80" s="252"/>
    </row>
    <row r="81" spans="1:16" ht="15.6" customHeight="1">
      <c r="A81" s="263"/>
      <c r="B81" s="227" t="s">
        <v>243</v>
      </c>
      <c r="C81" s="17" t="s">
        <v>266</v>
      </c>
      <c r="D81" s="195" t="s">
        <v>324</v>
      </c>
      <c r="E81" s="215">
        <f t="shared" si="1"/>
        <v>4</v>
      </c>
      <c r="F81" s="158">
        <v>3</v>
      </c>
      <c r="G81" s="120"/>
      <c r="H81" s="147"/>
      <c r="I81" s="33"/>
      <c r="J81" s="280"/>
      <c r="K81" s="33"/>
      <c r="L81" s="34"/>
      <c r="M81" s="203"/>
      <c r="N81" s="69"/>
      <c r="O81" s="247"/>
      <c r="P81" s="252"/>
    </row>
    <row r="82" spans="1:16" ht="15.6" customHeight="1">
      <c r="A82" s="263"/>
      <c r="B82" s="228"/>
      <c r="C82" s="9" t="s">
        <v>266</v>
      </c>
      <c r="D82" s="192" t="s">
        <v>83</v>
      </c>
      <c r="E82" s="208">
        <f t="shared" si="1"/>
        <v>4</v>
      </c>
      <c r="F82" s="161">
        <v>3</v>
      </c>
      <c r="G82" s="45"/>
      <c r="H82" s="148"/>
      <c r="I82" s="35"/>
      <c r="J82" s="280"/>
      <c r="K82" s="35"/>
      <c r="L82" s="36"/>
      <c r="M82" s="202"/>
      <c r="N82" s="169"/>
      <c r="O82" s="247"/>
      <c r="P82" s="252"/>
    </row>
    <row r="83" spans="1:16" ht="15.6" customHeight="1">
      <c r="A83" s="263"/>
      <c r="B83" s="229"/>
      <c r="C83" s="18" t="s">
        <v>266</v>
      </c>
      <c r="D83" s="197" t="s">
        <v>156</v>
      </c>
      <c r="E83" s="156">
        <f t="shared" si="1"/>
        <v>4</v>
      </c>
      <c r="F83" s="156">
        <v>3</v>
      </c>
      <c r="G83" s="137"/>
      <c r="H83" s="151"/>
      <c r="I83" s="46"/>
      <c r="J83" s="340"/>
      <c r="K83" s="47"/>
      <c r="L83" s="48"/>
      <c r="M83" s="194"/>
      <c r="N83" s="101"/>
      <c r="O83" s="247"/>
      <c r="P83" s="252"/>
    </row>
    <row r="84" spans="1:16" ht="15.6" customHeight="1">
      <c r="A84" s="263"/>
      <c r="B84" s="227" t="s">
        <v>304</v>
      </c>
      <c r="C84" s="17" t="s">
        <v>266</v>
      </c>
      <c r="D84" s="195" t="s">
        <v>321</v>
      </c>
      <c r="E84" s="215">
        <v>3</v>
      </c>
      <c r="F84" s="158">
        <v>4</v>
      </c>
      <c r="G84" s="120"/>
      <c r="H84" s="147"/>
      <c r="I84" s="15"/>
      <c r="J84" s="341" t="s">
        <v>333</v>
      </c>
      <c r="K84" s="13"/>
      <c r="L84" s="32"/>
      <c r="M84" s="203" t="s">
        <v>306</v>
      </c>
      <c r="N84" s="171"/>
      <c r="O84" s="247"/>
      <c r="P84" s="252"/>
    </row>
    <row r="85" spans="1:16" ht="15.6" customHeight="1" thickBot="1">
      <c r="A85" s="263"/>
      <c r="B85" s="229"/>
      <c r="C85" s="24" t="s">
        <v>266</v>
      </c>
      <c r="D85" s="197" t="s">
        <v>322</v>
      </c>
      <c r="E85" s="156">
        <v>3</v>
      </c>
      <c r="F85" s="156">
        <v>4</v>
      </c>
      <c r="G85" s="138"/>
      <c r="H85" s="145"/>
      <c r="I85" s="40"/>
      <c r="J85" s="281"/>
      <c r="K85" s="40"/>
      <c r="L85" s="20"/>
      <c r="M85" s="193" t="s">
        <v>306</v>
      </c>
      <c r="N85" s="101"/>
      <c r="O85" s="247"/>
      <c r="P85" s="252"/>
    </row>
    <row r="86" spans="1:16" ht="15.6" customHeight="1">
      <c r="A86" s="261" t="s">
        <v>20</v>
      </c>
      <c r="B86" s="236" t="s">
        <v>312</v>
      </c>
      <c r="C86" s="29" t="s">
        <v>266</v>
      </c>
      <c r="D86" s="189" t="s">
        <v>325</v>
      </c>
      <c r="E86" s="163">
        <f t="shared" si="1"/>
        <v>4</v>
      </c>
      <c r="F86" s="224">
        <v>3</v>
      </c>
      <c r="G86" s="122"/>
      <c r="H86" s="146"/>
      <c r="I86" s="8"/>
      <c r="J86" s="30"/>
      <c r="K86" s="265" t="s">
        <v>334</v>
      </c>
      <c r="L86" s="225"/>
      <c r="M86" s="204"/>
      <c r="N86" s="174"/>
      <c r="O86" s="249"/>
      <c r="P86" s="250"/>
    </row>
    <row r="87" spans="1:16" ht="15.6" customHeight="1">
      <c r="A87" s="262"/>
      <c r="B87" s="228"/>
      <c r="C87" s="9" t="s">
        <v>266</v>
      </c>
      <c r="D87" s="192" t="s">
        <v>326</v>
      </c>
      <c r="E87" s="208">
        <f t="shared" si="1"/>
        <v>4</v>
      </c>
      <c r="F87" s="161">
        <v>3</v>
      </c>
      <c r="G87" s="45"/>
      <c r="H87" s="144"/>
      <c r="I87" s="11"/>
      <c r="J87" s="12"/>
      <c r="K87" s="266"/>
      <c r="L87" s="10"/>
      <c r="M87" s="202"/>
      <c r="N87" s="169"/>
      <c r="O87" s="244"/>
      <c r="P87" s="251"/>
    </row>
    <row r="88" spans="1:16" ht="15.6" customHeight="1">
      <c r="A88" s="262"/>
      <c r="B88" s="228"/>
      <c r="C88" s="9" t="s">
        <v>266</v>
      </c>
      <c r="D88" s="192" t="s">
        <v>337</v>
      </c>
      <c r="E88" s="208">
        <f t="shared" si="1"/>
        <v>4</v>
      </c>
      <c r="F88" s="161">
        <v>3</v>
      </c>
      <c r="G88" s="35"/>
      <c r="H88" s="144"/>
      <c r="I88" s="11"/>
      <c r="J88" s="12"/>
      <c r="K88" s="266"/>
      <c r="L88" s="10"/>
      <c r="M88" s="202"/>
      <c r="N88" s="169"/>
      <c r="O88" s="244"/>
      <c r="P88" s="251"/>
    </row>
    <row r="89" spans="1:16" ht="15.6" customHeight="1">
      <c r="A89" s="262"/>
      <c r="B89" s="229"/>
      <c r="C89" s="24" t="s">
        <v>266</v>
      </c>
      <c r="D89" s="197" t="s">
        <v>44</v>
      </c>
      <c r="E89" s="156">
        <f t="shared" si="1"/>
        <v>4</v>
      </c>
      <c r="F89" s="156">
        <v>3</v>
      </c>
      <c r="G89" s="121"/>
      <c r="H89" s="145"/>
      <c r="I89" s="21"/>
      <c r="J89" s="22"/>
      <c r="K89" s="266"/>
      <c r="L89" s="23"/>
      <c r="M89" s="193"/>
      <c r="N89" s="101"/>
      <c r="O89" s="244"/>
      <c r="P89" s="251"/>
    </row>
    <row r="90" spans="1:16" ht="15.6" customHeight="1">
      <c r="A90" s="262"/>
      <c r="B90" s="227" t="s">
        <v>242</v>
      </c>
      <c r="C90" s="17" t="s">
        <v>266</v>
      </c>
      <c r="D90" s="195" t="s">
        <v>67</v>
      </c>
      <c r="E90" s="215">
        <f t="shared" si="1"/>
        <v>4</v>
      </c>
      <c r="F90" s="155">
        <v>3</v>
      </c>
      <c r="G90" s="120"/>
      <c r="H90" s="143"/>
      <c r="I90" s="15"/>
      <c r="J90" s="16"/>
      <c r="K90" s="266"/>
      <c r="L90" s="14"/>
      <c r="M90" s="203"/>
      <c r="N90" s="171"/>
      <c r="O90" s="244"/>
      <c r="P90" s="251"/>
    </row>
    <row r="91" spans="1:16" ht="15.6" customHeight="1">
      <c r="A91" s="262"/>
      <c r="B91" s="228"/>
      <c r="C91" s="9" t="s">
        <v>266</v>
      </c>
      <c r="D91" s="192" t="s">
        <v>146</v>
      </c>
      <c r="E91" s="208">
        <f t="shared" si="1"/>
        <v>4</v>
      </c>
      <c r="F91" s="161">
        <v>3</v>
      </c>
      <c r="G91" s="45"/>
      <c r="H91" s="144"/>
      <c r="I91" s="11"/>
      <c r="J91" s="12"/>
      <c r="K91" s="266"/>
      <c r="L91" s="10"/>
      <c r="M91" s="202"/>
      <c r="N91" s="169"/>
      <c r="O91" s="244"/>
      <c r="P91" s="251"/>
    </row>
    <row r="92" spans="1:16" ht="15.6" customHeight="1">
      <c r="A92" s="262"/>
      <c r="B92" s="228"/>
      <c r="C92" s="9" t="s">
        <v>266</v>
      </c>
      <c r="D92" s="192" t="s">
        <v>147</v>
      </c>
      <c r="E92" s="208">
        <f t="shared" si="1"/>
        <v>4</v>
      </c>
      <c r="F92" s="161">
        <v>3</v>
      </c>
      <c r="G92" s="45"/>
      <c r="H92" s="144"/>
      <c r="I92" s="11"/>
      <c r="J92" s="12"/>
      <c r="K92" s="266"/>
      <c r="L92" s="10"/>
      <c r="M92" s="202"/>
      <c r="N92" s="169"/>
      <c r="O92" s="244"/>
      <c r="P92" s="251"/>
    </row>
    <row r="93" spans="1:16" ht="15.6" customHeight="1">
      <c r="A93" s="262"/>
      <c r="B93" s="229"/>
      <c r="C93" s="18" t="s">
        <v>266</v>
      </c>
      <c r="D93" s="197" t="s">
        <v>150</v>
      </c>
      <c r="E93" s="156">
        <f t="shared" si="1"/>
        <v>4</v>
      </c>
      <c r="F93" s="119">
        <v>3</v>
      </c>
      <c r="G93" s="121"/>
      <c r="H93" s="145"/>
      <c r="I93" s="21"/>
      <c r="J93" s="22"/>
      <c r="K93" s="266"/>
      <c r="L93" s="22"/>
      <c r="M93" s="193"/>
      <c r="N93" s="101"/>
      <c r="O93" s="244"/>
      <c r="P93" s="251"/>
    </row>
    <row r="94" spans="1:16" ht="15.6" customHeight="1">
      <c r="A94" s="262"/>
      <c r="B94" s="227" t="s">
        <v>189</v>
      </c>
      <c r="C94" s="17" t="s">
        <v>265</v>
      </c>
      <c r="D94" s="195" t="s">
        <v>51</v>
      </c>
      <c r="E94" s="215">
        <f t="shared" si="1"/>
        <v>3</v>
      </c>
      <c r="F94" s="155">
        <v>3</v>
      </c>
      <c r="G94" s="120"/>
      <c r="H94" s="143"/>
      <c r="I94" s="15"/>
      <c r="J94" s="16"/>
      <c r="K94" s="266"/>
      <c r="L94" s="14"/>
      <c r="M94" s="203"/>
      <c r="N94" s="171"/>
      <c r="O94" s="244"/>
      <c r="P94" s="251"/>
    </row>
    <row r="95" spans="1:16" ht="15.6" customHeight="1">
      <c r="A95" s="262"/>
      <c r="B95" s="228"/>
      <c r="C95" s="9" t="s">
        <v>266</v>
      </c>
      <c r="D95" s="192" t="s">
        <v>327</v>
      </c>
      <c r="E95" s="208">
        <f t="shared" si="1"/>
        <v>3</v>
      </c>
      <c r="F95" s="161">
        <v>3</v>
      </c>
      <c r="G95" s="45"/>
      <c r="H95" s="144"/>
      <c r="I95" s="11"/>
      <c r="J95" s="12"/>
      <c r="K95" s="266"/>
      <c r="L95" s="10"/>
      <c r="M95" s="202"/>
      <c r="N95" s="169"/>
      <c r="O95" s="244"/>
      <c r="P95" s="251"/>
    </row>
    <row r="96" spans="1:16" ht="15.6" customHeight="1">
      <c r="A96" s="262"/>
      <c r="B96" s="228"/>
      <c r="C96" s="9" t="s">
        <v>266</v>
      </c>
      <c r="D96" s="192" t="s">
        <v>338</v>
      </c>
      <c r="E96" s="208">
        <f t="shared" si="1"/>
        <v>3</v>
      </c>
      <c r="F96" s="161">
        <v>3</v>
      </c>
      <c r="G96" s="45"/>
      <c r="H96" s="144"/>
      <c r="I96" s="11"/>
      <c r="J96" s="12"/>
      <c r="K96" s="266"/>
      <c r="L96" s="10"/>
      <c r="M96" s="202"/>
      <c r="N96" s="169"/>
      <c r="O96" s="244"/>
      <c r="P96" s="251"/>
    </row>
    <row r="97" spans="1:17" ht="15.6" customHeight="1">
      <c r="A97" s="262"/>
      <c r="B97" s="228"/>
      <c r="C97" s="9" t="s">
        <v>266</v>
      </c>
      <c r="D97" s="192" t="s">
        <v>328</v>
      </c>
      <c r="E97" s="208">
        <f t="shared" si="1"/>
        <v>3</v>
      </c>
      <c r="F97" s="161">
        <v>3</v>
      </c>
      <c r="G97" s="45"/>
      <c r="H97" s="144"/>
      <c r="I97" s="11"/>
      <c r="J97" s="12"/>
      <c r="K97" s="266"/>
      <c r="L97" s="10"/>
      <c r="M97" s="202"/>
      <c r="N97" s="169"/>
      <c r="O97" s="244"/>
      <c r="P97" s="251"/>
    </row>
    <row r="98" spans="1:17" ht="15.6" customHeight="1">
      <c r="A98" s="262"/>
      <c r="B98" s="229"/>
      <c r="C98" s="24" t="s">
        <v>281</v>
      </c>
      <c r="D98" s="197" t="s">
        <v>89</v>
      </c>
      <c r="E98" s="156">
        <f t="shared" si="1"/>
        <v>3</v>
      </c>
      <c r="F98" s="156">
        <v>3</v>
      </c>
      <c r="G98" s="121"/>
      <c r="H98" s="145"/>
      <c r="I98" s="21"/>
      <c r="J98" s="22"/>
      <c r="K98" s="342"/>
      <c r="L98" s="22"/>
      <c r="M98" s="193"/>
      <c r="N98" s="172"/>
      <c r="O98" s="244"/>
      <c r="P98" s="251"/>
    </row>
    <row r="99" spans="1:17" ht="15.6" customHeight="1">
      <c r="A99" s="262"/>
      <c r="B99" s="227" t="s">
        <v>304</v>
      </c>
      <c r="C99" s="17" t="s">
        <v>266</v>
      </c>
      <c r="D99" s="195" t="s">
        <v>329</v>
      </c>
      <c r="E99" s="215">
        <v>3</v>
      </c>
      <c r="F99" s="158">
        <v>3</v>
      </c>
      <c r="G99" s="120"/>
      <c r="H99" s="147"/>
      <c r="I99" s="33"/>
      <c r="J99" s="34"/>
      <c r="K99" s="343" t="s">
        <v>334</v>
      </c>
      <c r="L99" s="143"/>
      <c r="M99" s="203" t="s">
        <v>306</v>
      </c>
      <c r="N99" s="171"/>
      <c r="O99" s="244"/>
      <c r="P99" s="251"/>
    </row>
    <row r="100" spans="1:17" ht="15.6" customHeight="1">
      <c r="A100" s="262"/>
      <c r="B100" s="229"/>
      <c r="C100" s="18" t="s">
        <v>266</v>
      </c>
      <c r="D100" s="197" t="s">
        <v>330</v>
      </c>
      <c r="E100" s="156">
        <v>3</v>
      </c>
      <c r="F100" s="156">
        <v>3</v>
      </c>
      <c r="G100" s="121"/>
      <c r="H100" s="149"/>
      <c r="I100" s="49"/>
      <c r="J100" s="50"/>
      <c r="K100" s="342"/>
      <c r="L100" s="144"/>
      <c r="M100" s="193" t="s">
        <v>306</v>
      </c>
      <c r="N100" s="101"/>
      <c r="O100" s="244"/>
      <c r="P100" s="251"/>
    </row>
    <row r="101" spans="1:17" ht="15.6" customHeight="1">
      <c r="A101" s="263"/>
      <c r="B101" s="227" t="s">
        <v>189</v>
      </c>
      <c r="C101" s="17" t="s">
        <v>266</v>
      </c>
      <c r="D101" s="195" t="s">
        <v>331</v>
      </c>
      <c r="E101" s="215">
        <f t="shared" si="1"/>
        <v>3</v>
      </c>
      <c r="F101" s="155">
        <v>3</v>
      </c>
      <c r="G101" s="120"/>
      <c r="H101" s="143"/>
      <c r="I101" s="13"/>
      <c r="J101" s="14"/>
      <c r="K101" s="164"/>
      <c r="L101" s="267" t="s">
        <v>334</v>
      </c>
      <c r="M101" s="203"/>
      <c r="N101" s="69"/>
      <c r="O101" s="247"/>
      <c r="P101" s="252"/>
    </row>
    <row r="102" spans="1:17" ht="15.6" customHeight="1" thickBot="1">
      <c r="A102" s="264"/>
      <c r="B102" s="260"/>
      <c r="C102" s="42" t="s">
        <v>266</v>
      </c>
      <c r="D102" s="199" t="s">
        <v>88</v>
      </c>
      <c r="E102" s="112">
        <f t="shared" si="1"/>
        <v>3</v>
      </c>
      <c r="F102" s="128">
        <v>3</v>
      </c>
      <c r="G102" s="127"/>
      <c r="H102" s="150"/>
      <c r="I102" s="44"/>
      <c r="J102" s="43"/>
      <c r="K102" s="344"/>
      <c r="L102" s="268"/>
      <c r="M102" s="190"/>
      <c r="N102" s="169"/>
      <c r="O102" s="248"/>
      <c r="P102" s="253"/>
    </row>
    <row r="103" spans="1:17" ht="17.25" hidden="1" thickBot="1">
      <c r="A103" s="130"/>
      <c r="B103" s="111"/>
      <c r="C103" s="131"/>
      <c r="D103" s="132"/>
      <c r="E103" s="116" t="str">
        <f t="shared" ref="E101:E103" si="2">IFERROR(VLOOKUP(D103, 기본학점, 2, FALSE), "")</f>
        <v/>
      </c>
      <c r="F103" s="119"/>
      <c r="G103" s="129"/>
      <c r="H103" s="207"/>
      <c r="I103" s="26"/>
      <c r="J103" s="180"/>
      <c r="K103" s="111"/>
      <c r="L103" s="180"/>
      <c r="M103" s="25"/>
      <c r="N103" s="25"/>
      <c r="O103" s="185"/>
      <c r="P103" s="186"/>
    </row>
    <row r="104" spans="1:17" ht="17.25" customHeight="1">
      <c r="A104" s="272" t="s">
        <v>186</v>
      </c>
      <c r="B104" s="273"/>
      <c r="C104" s="273"/>
      <c r="D104" s="273"/>
      <c r="E104" s="274"/>
      <c r="F104" s="62"/>
      <c r="G104" s="56">
        <f>SUM(G7:G102)</f>
        <v>29</v>
      </c>
      <c r="H104" s="187">
        <v>29</v>
      </c>
      <c r="I104" s="56">
        <v>29</v>
      </c>
      <c r="J104" s="57">
        <v>29</v>
      </c>
      <c r="K104" s="58">
        <v>29</v>
      </c>
      <c r="L104" s="28">
        <v>29</v>
      </c>
      <c r="M104" s="173"/>
      <c r="N104" s="173"/>
      <c r="O104" s="27">
        <f>SUM(G104:L104)</f>
        <v>174</v>
      </c>
      <c r="P104" s="178">
        <f>SUM(P7:P102)</f>
        <v>68</v>
      </c>
      <c r="Q104" s="1"/>
    </row>
    <row r="105" spans="1:17">
      <c r="A105" s="269" t="s">
        <v>5</v>
      </c>
      <c r="B105" s="270"/>
      <c r="C105" s="270"/>
      <c r="D105" s="270"/>
      <c r="E105" s="271"/>
      <c r="F105" s="59">
        <v>18</v>
      </c>
      <c r="G105" s="26">
        <v>3</v>
      </c>
      <c r="H105" s="180">
        <v>3</v>
      </c>
      <c r="I105" s="179">
        <v>3</v>
      </c>
      <c r="J105" s="180">
        <v>3</v>
      </c>
      <c r="K105" s="179">
        <v>3</v>
      </c>
      <c r="L105" s="177">
        <v>3</v>
      </c>
      <c r="M105" s="84"/>
      <c r="N105" s="26"/>
      <c r="O105" s="26">
        <f>SUM(G105:L105)</f>
        <v>18</v>
      </c>
      <c r="P105" s="175">
        <v>18</v>
      </c>
    </row>
    <row r="106" spans="1:17" ht="15" customHeight="1">
      <c r="A106" s="269" t="s">
        <v>24</v>
      </c>
      <c r="B106" s="270"/>
      <c r="C106" s="270"/>
      <c r="D106" s="270"/>
      <c r="E106" s="270"/>
      <c r="F106" s="271"/>
      <c r="G106" s="60">
        <f>SUM(G104:G105)</f>
        <v>32</v>
      </c>
      <c r="H106" s="61">
        <f t="shared" ref="H106" si="3">SUM(H104:H105)</f>
        <v>32</v>
      </c>
      <c r="I106" s="60">
        <f>SUM(I104:I105)</f>
        <v>32</v>
      </c>
      <c r="J106" s="61">
        <f t="shared" ref="J106" si="4">SUM(J104:J105)</f>
        <v>32</v>
      </c>
      <c r="K106" s="60">
        <f>SUM(K104:K105)</f>
        <v>32</v>
      </c>
      <c r="L106" s="61">
        <f t="shared" ref="L106" si="5">SUM(L104:L105)</f>
        <v>32</v>
      </c>
      <c r="M106" s="59"/>
      <c r="N106" s="176"/>
      <c r="O106" s="239">
        <f>SUM(G106:M106)</f>
        <v>192</v>
      </c>
      <c r="P106" s="240"/>
    </row>
    <row r="107" spans="1:17" ht="15" customHeight="1">
      <c r="A107" s="269" t="s">
        <v>187</v>
      </c>
      <c r="B107" s="270"/>
      <c r="C107" s="270"/>
      <c r="D107" s="270"/>
      <c r="E107" s="270"/>
      <c r="F107" s="271"/>
      <c r="G107" s="176">
        <v>10</v>
      </c>
      <c r="H107" s="61">
        <v>10</v>
      </c>
      <c r="I107" s="60">
        <v>9</v>
      </c>
      <c r="J107" s="61">
        <v>9</v>
      </c>
      <c r="K107" s="60">
        <v>10</v>
      </c>
      <c r="L107" s="181">
        <v>10</v>
      </c>
      <c r="M107" s="59"/>
      <c r="N107" s="176"/>
      <c r="O107" s="241"/>
      <c r="P107" s="242"/>
    </row>
    <row r="108" spans="1:17" ht="17.25" customHeight="1" thickBot="1">
      <c r="A108" s="275" t="s">
        <v>25</v>
      </c>
      <c r="B108" s="276"/>
      <c r="C108" s="276"/>
      <c r="D108" s="276"/>
      <c r="E108" s="276"/>
      <c r="F108" s="259"/>
      <c r="G108" s="237">
        <f>SUM(G106:H106)</f>
        <v>64</v>
      </c>
      <c r="H108" s="259"/>
      <c r="I108" s="237">
        <f t="shared" ref="I108" si="6">SUM(I106:J106)</f>
        <v>64</v>
      </c>
      <c r="J108" s="259"/>
      <c r="K108" s="237">
        <f t="shared" ref="K108" si="7">SUM(K106:L106)</f>
        <v>64</v>
      </c>
      <c r="L108" s="259"/>
      <c r="M108" s="85"/>
      <c r="N108" s="165"/>
      <c r="O108" s="237">
        <f>SUM(G108:M108)</f>
        <v>192</v>
      </c>
      <c r="P108" s="238"/>
    </row>
    <row r="109" spans="1:17">
      <c r="A109" s="304" t="s">
        <v>184</v>
      </c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6"/>
    </row>
    <row r="110" spans="1:17">
      <c r="A110" s="307"/>
      <c r="B110" s="308"/>
      <c r="C110" s="308"/>
      <c r="D110" s="308"/>
      <c r="E110" s="308"/>
      <c r="F110" s="308"/>
      <c r="G110" s="308"/>
      <c r="H110" s="308"/>
      <c r="I110" s="308"/>
      <c r="J110" s="308"/>
      <c r="K110" s="308"/>
      <c r="L110" s="308"/>
      <c r="M110" s="308"/>
      <c r="N110" s="308"/>
      <c r="O110" s="308"/>
      <c r="P110" s="309"/>
    </row>
    <row r="111" spans="1:17">
      <c r="A111" s="307"/>
      <c r="B111" s="308"/>
      <c r="C111" s="308"/>
      <c r="D111" s="308"/>
      <c r="E111" s="308"/>
      <c r="F111" s="308"/>
      <c r="G111" s="308"/>
      <c r="H111" s="308"/>
      <c r="I111" s="308"/>
      <c r="J111" s="308"/>
      <c r="K111" s="308"/>
      <c r="L111" s="308"/>
      <c r="M111" s="308"/>
      <c r="N111" s="308"/>
      <c r="O111" s="308"/>
      <c r="P111" s="309"/>
    </row>
    <row r="112" spans="1:17">
      <c r="A112" s="307"/>
      <c r="B112" s="308"/>
      <c r="C112" s="308"/>
      <c r="D112" s="308"/>
      <c r="E112" s="308"/>
      <c r="F112" s="308"/>
      <c r="G112" s="308"/>
      <c r="H112" s="308"/>
      <c r="I112" s="308"/>
      <c r="J112" s="308"/>
      <c r="K112" s="308"/>
      <c r="L112" s="308"/>
      <c r="M112" s="308"/>
      <c r="N112" s="308"/>
      <c r="O112" s="308"/>
      <c r="P112" s="309"/>
    </row>
    <row r="113" spans="1:19">
      <c r="A113" s="307"/>
      <c r="B113" s="308"/>
      <c r="C113" s="308"/>
      <c r="D113" s="308"/>
      <c r="E113" s="308"/>
      <c r="F113" s="308"/>
      <c r="G113" s="308"/>
      <c r="H113" s="308"/>
      <c r="I113" s="308"/>
      <c r="J113" s="308"/>
      <c r="K113" s="308"/>
      <c r="L113" s="308"/>
      <c r="M113" s="308"/>
      <c r="N113" s="308"/>
      <c r="O113" s="308"/>
      <c r="P113" s="309"/>
    </row>
    <row r="114" spans="1:19">
      <c r="A114" s="307"/>
      <c r="B114" s="308"/>
      <c r="C114" s="308"/>
      <c r="D114" s="308"/>
      <c r="E114" s="308"/>
      <c r="F114" s="308"/>
      <c r="G114" s="308"/>
      <c r="H114" s="308"/>
      <c r="I114" s="308"/>
      <c r="J114" s="308"/>
      <c r="K114" s="308"/>
      <c r="L114" s="308"/>
      <c r="M114" s="308"/>
      <c r="N114" s="308"/>
      <c r="O114" s="308"/>
      <c r="P114" s="309"/>
    </row>
    <row r="115" spans="1:19">
      <c r="A115" s="307"/>
      <c r="B115" s="308"/>
      <c r="C115" s="308"/>
      <c r="D115" s="308"/>
      <c r="E115" s="308"/>
      <c r="F115" s="308"/>
      <c r="G115" s="308"/>
      <c r="H115" s="308"/>
      <c r="I115" s="308"/>
      <c r="J115" s="308"/>
      <c r="K115" s="308"/>
      <c r="L115" s="308"/>
      <c r="M115" s="308"/>
      <c r="N115" s="308"/>
      <c r="O115" s="308"/>
      <c r="P115" s="309"/>
      <c r="S115" s="7"/>
    </row>
    <row r="116" spans="1:19">
      <c r="A116" s="307"/>
      <c r="B116" s="308"/>
      <c r="C116" s="308"/>
      <c r="D116" s="308"/>
      <c r="E116" s="308"/>
      <c r="F116" s="308"/>
      <c r="G116" s="308"/>
      <c r="H116" s="308"/>
      <c r="I116" s="308"/>
      <c r="J116" s="308"/>
      <c r="K116" s="308"/>
      <c r="L116" s="308"/>
      <c r="M116" s="308"/>
      <c r="N116" s="308"/>
      <c r="O116" s="308"/>
      <c r="P116" s="309"/>
    </row>
    <row r="117" spans="1:19" ht="14.25" thickBot="1">
      <c r="A117" s="310"/>
      <c r="B117" s="311"/>
      <c r="C117" s="311"/>
      <c r="D117" s="311"/>
      <c r="E117" s="311"/>
      <c r="F117" s="311"/>
      <c r="G117" s="311"/>
      <c r="H117" s="311"/>
      <c r="I117" s="311"/>
      <c r="J117" s="311"/>
      <c r="K117" s="311"/>
      <c r="L117" s="311"/>
      <c r="M117" s="311"/>
      <c r="N117" s="311"/>
      <c r="O117" s="311"/>
      <c r="P117" s="312"/>
    </row>
  </sheetData>
  <mergeCells count="91">
    <mergeCell ref="A54:A57"/>
    <mergeCell ref="B54:B57"/>
    <mergeCell ref="O54:O57"/>
    <mergeCell ref="P54:P57"/>
    <mergeCell ref="I58:I69"/>
    <mergeCell ref="I70:I71"/>
    <mergeCell ref="J72:J83"/>
    <mergeCell ref="J84:J85"/>
    <mergeCell ref="K86:K98"/>
    <mergeCell ref="A2:D2"/>
    <mergeCell ref="B7:B12"/>
    <mergeCell ref="A109:P117"/>
    <mergeCell ref="J4:J5"/>
    <mergeCell ref="B21:B24"/>
    <mergeCell ref="P23:P24"/>
    <mergeCell ref="P15:P20"/>
    <mergeCell ref="K4:K5"/>
    <mergeCell ref="L4:L5"/>
    <mergeCell ref="P21:P22"/>
    <mergeCell ref="P35:P51"/>
    <mergeCell ref="B25:B28"/>
    <mergeCell ref="P13:P14"/>
    <mergeCell ref="B15:B20"/>
    <mergeCell ref="P25:P28"/>
    <mergeCell ref="B29:B34"/>
    <mergeCell ref="P29:P34"/>
    <mergeCell ref="B52:B53"/>
    <mergeCell ref="B35:B51"/>
    <mergeCell ref="D3:D5"/>
    <mergeCell ref="A7:A53"/>
    <mergeCell ref="N3:N5"/>
    <mergeCell ref="B72:B75"/>
    <mergeCell ref="B13:B14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B76:B79"/>
    <mergeCell ref="B81:B83"/>
    <mergeCell ref="B84:B85"/>
    <mergeCell ref="A106:F106"/>
    <mergeCell ref="A104:E104"/>
    <mergeCell ref="A105:E105"/>
    <mergeCell ref="A107:F107"/>
    <mergeCell ref="A108:F108"/>
    <mergeCell ref="B101:B102"/>
    <mergeCell ref="A58:A85"/>
    <mergeCell ref="B86:B89"/>
    <mergeCell ref="B90:B93"/>
    <mergeCell ref="B67:B69"/>
    <mergeCell ref="B70:B71"/>
    <mergeCell ref="G108:H108"/>
    <mergeCell ref="I108:J108"/>
    <mergeCell ref="K108:L108"/>
    <mergeCell ref="A86:A102"/>
    <mergeCell ref="B94:B98"/>
    <mergeCell ref="B99:B100"/>
    <mergeCell ref="L101:L102"/>
    <mergeCell ref="K99:K100"/>
    <mergeCell ref="O108:P108"/>
    <mergeCell ref="O106:P106"/>
    <mergeCell ref="O107:P107"/>
    <mergeCell ref="O52:O53"/>
    <mergeCell ref="O58:O85"/>
    <mergeCell ref="O86:O102"/>
    <mergeCell ref="P58:P85"/>
    <mergeCell ref="P86:P102"/>
    <mergeCell ref="O7:O12"/>
    <mergeCell ref="P7:P12"/>
    <mergeCell ref="O35:O51"/>
    <mergeCell ref="O25:O28"/>
    <mergeCell ref="P52:P53"/>
    <mergeCell ref="B58:B61"/>
    <mergeCell ref="B62:B65"/>
    <mergeCell ref="O29:O34"/>
    <mergeCell ref="O13:O14"/>
    <mergeCell ref="O15:O20"/>
    <mergeCell ref="O21:O22"/>
    <mergeCell ref="O23:O24"/>
  </mergeCells>
  <phoneticPr fontId="1" type="noConversion"/>
  <conditionalFormatting sqref="E7:E11 E23 E25:E27 E29:E33 E15:E19 E52 E62:E64 F61:F63 E67:E68">
    <cfRule type="expression" dxfId="17" priority="66">
      <formula>ISTEXT(E7)</formula>
    </cfRule>
  </conditionalFormatting>
  <conditionalFormatting sqref="E13">
    <cfRule type="expression" dxfId="16" priority="65">
      <formula>ISTEXT(E13)</formula>
    </cfRule>
  </conditionalFormatting>
  <conditionalFormatting sqref="E21">
    <cfRule type="expression" dxfId="15" priority="62">
      <formula>ISTEXT(E21)</formula>
    </cfRule>
  </conditionalFormatting>
  <conditionalFormatting sqref="E35:E50">
    <cfRule type="expression" dxfId="14" priority="52">
      <formula>ISTEXT(E35)</formula>
    </cfRule>
  </conditionalFormatting>
  <conditionalFormatting sqref="E58:E60">
    <cfRule type="expression" dxfId="13" priority="51">
      <formula>ISTEXT(E58)</formula>
    </cfRule>
  </conditionalFormatting>
  <conditionalFormatting sqref="E66">
    <cfRule type="expression" dxfId="12" priority="49">
      <formula>ISTEXT(E66)</formula>
    </cfRule>
  </conditionalFormatting>
  <conditionalFormatting sqref="E70">
    <cfRule type="expression" dxfId="11" priority="45">
      <formula>ISTEXT(E70)</formula>
    </cfRule>
  </conditionalFormatting>
  <conditionalFormatting sqref="E72:E75">
    <cfRule type="expression" dxfId="10" priority="39">
      <formula>ISTEXT(E72)</formula>
    </cfRule>
  </conditionalFormatting>
  <conditionalFormatting sqref="E76:E78">
    <cfRule type="expression" dxfId="9" priority="38">
      <formula>ISTEXT(E76)</formula>
    </cfRule>
  </conditionalFormatting>
  <conditionalFormatting sqref="E80">
    <cfRule type="expression" dxfId="8" priority="36">
      <formula>ISTEXT(E80)</formula>
    </cfRule>
  </conditionalFormatting>
  <conditionalFormatting sqref="E81:E82">
    <cfRule type="expression" dxfId="7" priority="34">
      <formula>ISTEXT(E81)</formula>
    </cfRule>
  </conditionalFormatting>
  <conditionalFormatting sqref="E84">
    <cfRule type="expression" dxfId="6" priority="33">
      <formula>ISTEXT(E84)</formula>
    </cfRule>
  </conditionalFormatting>
  <conditionalFormatting sqref="E86:E88">
    <cfRule type="expression" dxfId="5" priority="25">
      <formula>ISTEXT(E86)</formula>
    </cfRule>
  </conditionalFormatting>
  <conditionalFormatting sqref="E90:E92">
    <cfRule type="expression" dxfId="4" priority="24">
      <formula>ISTEXT(E90)</formula>
    </cfRule>
  </conditionalFormatting>
  <conditionalFormatting sqref="E94:E97">
    <cfRule type="expression" dxfId="3" priority="23">
      <formula>ISTEXT(E94)</formula>
    </cfRule>
  </conditionalFormatting>
  <conditionalFormatting sqref="E99">
    <cfRule type="expression" dxfId="2" priority="22">
      <formula>ISTEXT(E99)</formula>
    </cfRule>
  </conditionalFormatting>
  <conditionalFormatting sqref="E101">
    <cfRule type="expression" dxfId="1" priority="2">
      <formula>ISTEXT(E101)</formula>
    </cfRule>
  </conditionalFormatting>
  <dataValidations disablePrompts="1" xWindow="521" yWindow="482" count="5">
    <dataValidation type="list" allowBlank="1" showInputMessage="1" showErrorMessage="1" sqref="C7:C28 C58:C100" xr:uid="{00000000-0002-0000-0000-000000000000}">
      <formula1>과목유형</formula1>
    </dataValidation>
    <dataValidation type="list" allowBlank="1" showInputMessage="1" showErrorMessage="1" sqref="B7:B10 B13:B54 B58:B60 B62:B63 B66:B103" xr:uid="{00000000-0002-0000-0000-000001000000}">
      <formula1>교과군</formula1>
    </dataValidation>
    <dataValidation type="list" allowBlank="1" showInputMessage="1" showErrorMessage="1" sqref="C29:C57 C101:C103" xr:uid="{00000000-0002-0000-0000-000002000000}">
      <formula1>과목유형2</formula1>
    </dataValidation>
    <dataValidation type="list" allowBlank="1" showInputMessage="1" sqref="N103 M7:M103" xr:uid="{00000000-0002-0000-0000-000003000000}">
      <formula1>비고</formula1>
    </dataValidation>
    <dataValidation type="list" allowBlank="1" showInputMessage="1" sqref="N7:N102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06:K106 O105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F65:F103 F7:F53 F58:F60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D7:D53 D58:D103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88" customWidth="1"/>
    <col min="2" max="3" width="10.5546875" style="88" customWidth="1"/>
    <col min="4" max="16384" width="8.77734375" style="88"/>
  </cols>
  <sheetData>
    <row r="1" spans="1:39" ht="24">
      <c r="A1" s="98" t="s">
        <v>3</v>
      </c>
      <c r="B1" s="99" t="s">
        <v>191</v>
      </c>
      <c r="C1" s="99" t="s">
        <v>239</v>
      </c>
      <c r="D1" s="86" t="s">
        <v>12</v>
      </c>
      <c r="E1" s="87" t="s">
        <v>201</v>
      </c>
      <c r="F1" s="87" t="s">
        <v>202</v>
      </c>
      <c r="G1" s="87" t="s">
        <v>203</v>
      </c>
      <c r="H1" s="87" t="s">
        <v>204</v>
      </c>
      <c r="I1" s="87" t="s">
        <v>205</v>
      </c>
      <c r="J1" s="87" t="s">
        <v>206</v>
      </c>
      <c r="K1" s="87" t="s">
        <v>207</v>
      </c>
      <c r="L1" s="87" t="s">
        <v>208</v>
      </c>
      <c r="M1" s="87" t="s">
        <v>209</v>
      </c>
      <c r="N1" s="87" t="s">
        <v>210</v>
      </c>
      <c r="O1" s="87" t="s">
        <v>211</v>
      </c>
      <c r="P1" s="87" t="s">
        <v>212</v>
      </c>
      <c r="Q1" s="87" t="s">
        <v>213</v>
      </c>
      <c r="R1" s="87" t="s">
        <v>214</v>
      </c>
      <c r="S1" s="87" t="s">
        <v>215</v>
      </c>
      <c r="T1" s="87" t="s">
        <v>216</v>
      </c>
      <c r="U1" s="87" t="s">
        <v>217</v>
      </c>
      <c r="V1" s="87" t="s">
        <v>218</v>
      </c>
      <c r="W1" s="87" t="s">
        <v>219</v>
      </c>
      <c r="X1" s="87" t="s">
        <v>220</v>
      </c>
      <c r="Y1" s="87" t="s">
        <v>221</v>
      </c>
      <c r="Z1" s="87" t="s">
        <v>222</v>
      </c>
      <c r="AA1" s="87" t="s">
        <v>223</v>
      </c>
      <c r="AB1" s="87" t="s">
        <v>224</v>
      </c>
      <c r="AC1" s="87" t="s">
        <v>225</v>
      </c>
      <c r="AD1" s="87" t="s">
        <v>226</v>
      </c>
      <c r="AE1" s="87" t="s">
        <v>227</v>
      </c>
      <c r="AF1" s="87" t="s">
        <v>228</v>
      </c>
      <c r="AG1" s="87" t="s">
        <v>229</v>
      </c>
      <c r="AH1" s="87" t="s">
        <v>230</v>
      </c>
      <c r="AI1" s="87" t="s">
        <v>231</v>
      </c>
      <c r="AJ1" s="87" t="s">
        <v>232</v>
      </c>
      <c r="AK1" s="87" t="s">
        <v>233</v>
      </c>
      <c r="AL1" s="87" t="s">
        <v>234</v>
      </c>
      <c r="AM1" s="87" t="s">
        <v>235</v>
      </c>
    </row>
    <row r="2" spans="1:39">
      <c r="A2" s="98" t="s">
        <v>6</v>
      </c>
      <c r="B2" s="98" t="s">
        <v>192</v>
      </c>
      <c r="C2" s="98" t="s">
        <v>240</v>
      </c>
      <c r="D2" s="86" t="s">
        <v>15</v>
      </c>
      <c r="E2" s="89" t="s">
        <v>26</v>
      </c>
      <c r="F2" s="89" t="s">
        <v>55</v>
      </c>
      <c r="G2" s="89" t="s">
        <v>57</v>
      </c>
      <c r="H2" s="89" t="s">
        <v>58</v>
      </c>
      <c r="I2" s="89" t="s">
        <v>27</v>
      </c>
      <c r="J2" s="89" t="s">
        <v>53</v>
      </c>
      <c r="K2" s="89" t="s">
        <v>103</v>
      </c>
      <c r="L2" s="89" t="s">
        <v>60</v>
      </c>
      <c r="M2" s="89" t="s">
        <v>28</v>
      </c>
      <c r="N2" s="89" t="s">
        <v>54</v>
      </c>
      <c r="O2" s="89" t="s">
        <v>100</v>
      </c>
      <c r="P2" s="89" t="s">
        <v>62</v>
      </c>
      <c r="Q2" s="89" t="s">
        <v>112</v>
      </c>
      <c r="R2" s="89" t="s">
        <v>64</v>
      </c>
      <c r="S2" s="90" t="s">
        <v>139</v>
      </c>
      <c r="T2" s="89" t="s">
        <v>65</v>
      </c>
      <c r="U2" s="89" t="s">
        <v>116</v>
      </c>
      <c r="V2" s="89" t="s">
        <v>123</v>
      </c>
      <c r="W2" s="89" t="s">
        <v>66</v>
      </c>
      <c r="X2" s="89" t="s">
        <v>165</v>
      </c>
      <c r="Y2" s="90" t="s">
        <v>127</v>
      </c>
      <c r="Z2" s="89" t="s">
        <v>151</v>
      </c>
      <c r="AA2" s="89" t="s">
        <v>168</v>
      </c>
      <c r="AB2" s="89" t="s">
        <v>129</v>
      </c>
      <c r="AC2" s="89" t="s">
        <v>69</v>
      </c>
      <c r="AD2" s="89" t="s">
        <v>70</v>
      </c>
      <c r="AE2" s="89" t="s">
        <v>110</v>
      </c>
      <c r="AF2" s="89" t="s">
        <v>152</v>
      </c>
      <c r="AG2" s="89" t="s">
        <v>73</v>
      </c>
      <c r="AH2" s="89" t="s">
        <v>82</v>
      </c>
      <c r="AI2" s="90" t="s">
        <v>156</v>
      </c>
      <c r="AJ2" s="89" t="s">
        <v>172</v>
      </c>
      <c r="AK2" s="89" t="s">
        <v>75</v>
      </c>
      <c r="AL2" s="90" t="s">
        <v>87</v>
      </c>
      <c r="AM2" s="89" t="s">
        <v>89</v>
      </c>
    </row>
    <row r="3" spans="1:39">
      <c r="A3" s="98" t="s">
        <v>7</v>
      </c>
      <c r="B3" s="98" t="s">
        <v>193</v>
      </c>
      <c r="C3" s="98" t="s">
        <v>240</v>
      </c>
      <c r="D3" s="86" t="s">
        <v>17</v>
      </c>
      <c r="E3" s="89" t="s">
        <v>30</v>
      </c>
      <c r="F3" s="89" t="s">
        <v>56</v>
      </c>
      <c r="G3" s="89" t="s">
        <v>76</v>
      </c>
      <c r="H3" s="89" t="s">
        <v>59</v>
      </c>
      <c r="I3" s="89" t="s">
        <v>33</v>
      </c>
      <c r="J3" s="89" t="s">
        <v>52</v>
      </c>
      <c r="K3" s="89" t="s">
        <v>104</v>
      </c>
      <c r="L3" s="89" t="s">
        <v>61</v>
      </c>
      <c r="M3" s="89" t="s">
        <v>39</v>
      </c>
      <c r="N3" s="90" t="s">
        <v>77</v>
      </c>
      <c r="O3" s="90" t="s">
        <v>78</v>
      </c>
      <c r="P3" s="89" t="s">
        <v>63</v>
      </c>
      <c r="Q3" s="89" t="s">
        <v>113</v>
      </c>
      <c r="R3" s="89" t="s">
        <v>120</v>
      </c>
      <c r="S3" s="89" t="s">
        <v>140</v>
      </c>
      <c r="T3" s="89" t="s">
        <v>160</v>
      </c>
      <c r="U3" s="89" t="s">
        <v>117</v>
      </c>
      <c r="V3" s="90" t="s">
        <v>124</v>
      </c>
      <c r="W3" s="89" t="s">
        <v>67</v>
      </c>
      <c r="X3" s="89" t="s">
        <v>166</v>
      </c>
      <c r="Y3" s="90" t="s">
        <v>128</v>
      </c>
      <c r="Z3" s="89" t="s">
        <v>107</v>
      </c>
      <c r="AA3" s="89" t="s">
        <v>169</v>
      </c>
      <c r="AB3" s="89" t="s">
        <v>80</v>
      </c>
      <c r="AC3" s="89" t="s">
        <v>71</v>
      </c>
      <c r="AD3" s="89" t="s">
        <v>46</v>
      </c>
      <c r="AE3" s="89" t="s">
        <v>47</v>
      </c>
      <c r="AF3" s="89" t="s">
        <v>153</v>
      </c>
      <c r="AG3" s="89" t="s">
        <v>74</v>
      </c>
      <c r="AH3" s="89" t="s">
        <v>130</v>
      </c>
      <c r="AI3" s="89" t="s">
        <v>157</v>
      </c>
      <c r="AJ3" s="89" t="s">
        <v>173</v>
      </c>
      <c r="AK3" s="89" t="s">
        <v>51</v>
      </c>
      <c r="AL3" s="89" t="s">
        <v>97</v>
      </c>
      <c r="AM3" s="89" t="s">
        <v>176</v>
      </c>
    </row>
    <row r="4" spans="1:39">
      <c r="A4" s="98" t="s">
        <v>16</v>
      </c>
      <c r="B4" s="98" t="s">
        <v>194</v>
      </c>
      <c r="C4" s="98" t="s">
        <v>240</v>
      </c>
      <c r="D4" s="86" t="s">
        <v>19</v>
      </c>
      <c r="E4" s="91"/>
      <c r="F4" s="89" t="s">
        <v>29</v>
      </c>
      <c r="G4" s="89" t="s">
        <v>31</v>
      </c>
      <c r="H4" s="89" t="s">
        <v>32</v>
      </c>
      <c r="I4" s="89" t="s">
        <v>37</v>
      </c>
      <c r="J4" s="89" t="s">
        <v>34</v>
      </c>
      <c r="K4" s="89" t="s">
        <v>106</v>
      </c>
      <c r="L4" s="89" t="s">
        <v>36</v>
      </c>
      <c r="M4" s="89" t="s">
        <v>42</v>
      </c>
      <c r="N4" s="89" t="s">
        <v>40</v>
      </c>
      <c r="O4" s="90" t="s">
        <v>136</v>
      </c>
      <c r="P4" s="89" t="s">
        <v>41</v>
      </c>
      <c r="Q4" s="89" t="s">
        <v>114</v>
      </c>
      <c r="R4" s="89" t="s">
        <v>121</v>
      </c>
      <c r="S4" s="89" t="s">
        <v>141</v>
      </c>
      <c r="T4" s="89" t="s">
        <v>161</v>
      </c>
      <c r="U4" s="89" t="s">
        <v>118</v>
      </c>
      <c r="V4" s="89" t="s">
        <v>125</v>
      </c>
      <c r="W4" s="89" t="s">
        <v>68</v>
      </c>
      <c r="X4" s="89" t="s">
        <v>167</v>
      </c>
      <c r="Z4" s="89" t="s">
        <v>108</v>
      </c>
      <c r="AB4" s="89" t="s">
        <v>81</v>
      </c>
      <c r="AC4" s="89" t="s">
        <v>72</v>
      </c>
      <c r="AF4" s="90" t="s">
        <v>154</v>
      </c>
      <c r="AG4" s="89" t="s">
        <v>109</v>
      </c>
      <c r="AH4" s="89" t="s">
        <v>131</v>
      </c>
      <c r="AI4" s="90" t="s">
        <v>158</v>
      </c>
      <c r="AJ4" s="89" t="s">
        <v>174</v>
      </c>
      <c r="AL4" s="90" t="s">
        <v>88</v>
      </c>
    </row>
    <row r="5" spans="1:39" ht="24">
      <c r="A5" s="99" t="s">
        <v>185</v>
      </c>
      <c r="B5" s="98" t="s">
        <v>195</v>
      </c>
      <c r="C5" s="98" t="s">
        <v>240</v>
      </c>
      <c r="D5" s="86" t="s">
        <v>111</v>
      </c>
      <c r="E5" s="91"/>
      <c r="F5" s="91"/>
      <c r="G5" s="91"/>
      <c r="H5" s="91"/>
      <c r="I5" s="89" t="s">
        <v>38</v>
      </c>
      <c r="J5" s="91"/>
      <c r="K5" s="89" t="s">
        <v>105</v>
      </c>
      <c r="L5" s="91"/>
      <c r="M5" s="89" t="s">
        <v>43</v>
      </c>
      <c r="N5" s="92"/>
      <c r="O5" s="89" t="s">
        <v>137</v>
      </c>
      <c r="P5" s="92"/>
      <c r="Q5" s="89" t="s">
        <v>115</v>
      </c>
      <c r="R5" s="89" t="s">
        <v>122</v>
      </c>
      <c r="S5" s="89" t="s">
        <v>142</v>
      </c>
      <c r="T5" s="89" t="s">
        <v>162</v>
      </c>
      <c r="U5" s="89" t="s">
        <v>119</v>
      </c>
      <c r="V5" s="90" t="s">
        <v>126</v>
      </c>
      <c r="W5" s="89" t="s">
        <v>146</v>
      </c>
      <c r="AC5" s="89" t="s">
        <v>45</v>
      </c>
      <c r="AF5" s="90" t="s">
        <v>155</v>
      </c>
      <c r="AG5" s="89" t="s">
        <v>170</v>
      </c>
      <c r="AH5" s="89" t="s">
        <v>132</v>
      </c>
      <c r="AI5" s="89" t="s">
        <v>159</v>
      </c>
      <c r="AJ5" s="89" t="s">
        <v>175</v>
      </c>
      <c r="AL5" s="89" t="s">
        <v>98</v>
      </c>
    </row>
    <row r="6" spans="1:39">
      <c r="A6" s="98" t="s">
        <v>8</v>
      </c>
      <c r="B6" s="98" t="s">
        <v>196</v>
      </c>
      <c r="C6" s="98" t="s">
        <v>240</v>
      </c>
      <c r="E6" s="91"/>
      <c r="F6" s="91"/>
      <c r="G6" s="91"/>
      <c r="H6" s="91"/>
      <c r="I6" s="91"/>
      <c r="J6" s="91"/>
      <c r="K6" s="89" t="s">
        <v>35</v>
      </c>
      <c r="L6" s="91"/>
      <c r="M6" s="91"/>
      <c r="N6" s="91"/>
      <c r="O6" s="89" t="s">
        <v>138</v>
      </c>
      <c r="P6" s="92"/>
      <c r="S6" s="90" t="s">
        <v>143</v>
      </c>
      <c r="T6" s="89" t="s">
        <v>163</v>
      </c>
      <c r="W6" s="89" t="s">
        <v>147</v>
      </c>
      <c r="AG6" s="89" t="s">
        <v>171</v>
      </c>
      <c r="AH6" s="89" t="s">
        <v>133</v>
      </c>
      <c r="AI6" s="90" t="s">
        <v>83</v>
      </c>
      <c r="AJ6" s="89" t="s">
        <v>85</v>
      </c>
      <c r="AL6" s="90" t="s">
        <v>90</v>
      </c>
    </row>
    <row r="7" spans="1:39">
      <c r="A7" s="98" t="s">
        <v>9</v>
      </c>
      <c r="B7" s="98" t="s">
        <v>197</v>
      </c>
      <c r="C7" s="98" t="s">
        <v>241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3"/>
      <c r="P7" s="92"/>
      <c r="S7" s="90" t="s">
        <v>144</v>
      </c>
      <c r="T7" s="89" t="s">
        <v>164</v>
      </c>
      <c r="W7" s="89" t="s">
        <v>148</v>
      </c>
      <c r="AH7" s="89" t="s">
        <v>134</v>
      </c>
      <c r="AI7" s="89" t="s">
        <v>92</v>
      </c>
      <c r="AJ7" s="89" t="s">
        <v>95</v>
      </c>
      <c r="AL7" s="89" t="s">
        <v>99</v>
      </c>
    </row>
    <row r="8" spans="1:39">
      <c r="A8" s="98" t="s">
        <v>10</v>
      </c>
      <c r="B8" s="98" t="s">
        <v>198</v>
      </c>
      <c r="C8" s="98" t="s">
        <v>241</v>
      </c>
      <c r="E8" s="91"/>
      <c r="F8" s="91"/>
      <c r="G8" s="91"/>
      <c r="H8" s="91"/>
      <c r="I8" s="91"/>
      <c r="J8" s="91"/>
      <c r="K8" s="91"/>
      <c r="L8" s="91"/>
      <c r="M8" s="91"/>
      <c r="N8" s="91"/>
      <c r="O8" s="93"/>
      <c r="P8" s="91"/>
      <c r="S8" s="90" t="s">
        <v>145</v>
      </c>
      <c r="W8" s="89" t="s">
        <v>149</v>
      </c>
      <c r="AH8" s="89" t="s">
        <v>135</v>
      </c>
      <c r="AI8" s="90" t="s">
        <v>84</v>
      </c>
      <c r="AJ8" s="89" t="s">
        <v>86</v>
      </c>
    </row>
    <row r="9" spans="1:39">
      <c r="A9" s="98" t="s">
        <v>188</v>
      </c>
      <c r="B9" s="98" t="s">
        <v>199</v>
      </c>
      <c r="C9" s="98" t="s">
        <v>241</v>
      </c>
      <c r="E9" s="91"/>
      <c r="F9" s="91"/>
      <c r="G9" s="91"/>
      <c r="H9" s="91"/>
      <c r="I9" s="91"/>
      <c r="J9" s="91"/>
      <c r="K9" s="91"/>
      <c r="L9" s="91"/>
      <c r="M9" s="91"/>
      <c r="N9" s="91"/>
      <c r="O9" s="92"/>
      <c r="P9" s="91"/>
      <c r="S9" s="89" t="s">
        <v>79</v>
      </c>
      <c r="W9" s="89" t="s">
        <v>150</v>
      </c>
      <c r="AH9" s="89" t="s">
        <v>91</v>
      </c>
      <c r="AI9" s="89" t="s">
        <v>93</v>
      </c>
      <c r="AJ9" s="89" t="s">
        <v>96</v>
      </c>
    </row>
    <row r="10" spans="1:39">
      <c r="A10" s="98" t="s">
        <v>102</v>
      </c>
      <c r="B10" s="98" t="s">
        <v>200</v>
      </c>
      <c r="C10" s="98" t="s">
        <v>241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2"/>
      <c r="P10" s="91"/>
      <c r="S10" s="89" t="s">
        <v>44</v>
      </c>
      <c r="AH10" s="89" t="s">
        <v>48</v>
      </c>
      <c r="AI10" s="90" t="s">
        <v>177</v>
      </c>
      <c r="AJ10" s="89" t="s">
        <v>50</v>
      </c>
    </row>
    <row r="11" spans="1:39">
      <c r="A11" s="98" t="s">
        <v>190</v>
      </c>
      <c r="B11" s="98" t="s">
        <v>101</v>
      </c>
      <c r="C11" s="98" t="s">
        <v>241</v>
      </c>
      <c r="AI11" s="89" t="s">
        <v>178</v>
      </c>
    </row>
    <row r="12" spans="1:39">
      <c r="AI12" s="90" t="s">
        <v>179</v>
      </c>
    </row>
    <row r="13" spans="1:39">
      <c r="D13" s="96" t="s">
        <v>236</v>
      </c>
      <c r="E13" s="96" t="s">
        <v>262</v>
      </c>
      <c r="F13" s="96" t="s">
        <v>237</v>
      </c>
      <c r="G13" s="96" t="s">
        <v>238</v>
      </c>
      <c r="J13" s="166" t="s">
        <v>246</v>
      </c>
      <c r="K13" s="167" t="s">
        <v>244</v>
      </c>
      <c r="AI13" s="89" t="s">
        <v>180</v>
      </c>
    </row>
    <row r="14" spans="1:39">
      <c r="D14" s="94" t="s">
        <v>26</v>
      </c>
      <c r="E14" s="96">
        <v>4</v>
      </c>
      <c r="F14" s="96">
        <v>3</v>
      </c>
      <c r="G14" s="96">
        <v>4</v>
      </c>
      <c r="J14" s="166" t="s">
        <v>247</v>
      </c>
      <c r="K14" s="167" t="s">
        <v>255</v>
      </c>
      <c r="AI14" s="90" t="s">
        <v>181</v>
      </c>
    </row>
    <row r="15" spans="1:39">
      <c r="D15" s="94" t="s">
        <v>30</v>
      </c>
      <c r="E15" s="96">
        <v>4</v>
      </c>
      <c r="F15" s="96">
        <v>3</v>
      </c>
      <c r="G15" s="96">
        <v>4</v>
      </c>
      <c r="J15" s="166" t="s">
        <v>248</v>
      </c>
      <c r="K15" s="167" t="s">
        <v>256</v>
      </c>
      <c r="AI15" s="89" t="s">
        <v>182</v>
      </c>
    </row>
    <row r="16" spans="1:39">
      <c r="D16" s="94" t="s">
        <v>27</v>
      </c>
      <c r="E16" s="96">
        <v>4</v>
      </c>
      <c r="F16" s="96">
        <v>3</v>
      </c>
      <c r="G16" s="96">
        <v>4</v>
      </c>
      <c r="J16" s="166" t="s">
        <v>249</v>
      </c>
      <c r="K16" s="167" t="s">
        <v>257</v>
      </c>
      <c r="AI16" s="90" t="s">
        <v>183</v>
      </c>
    </row>
    <row r="17" spans="4:35">
      <c r="D17" s="94" t="s">
        <v>33</v>
      </c>
      <c r="E17" s="96">
        <v>4</v>
      </c>
      <c r="F17" s="96">
        <v>3</v>
      </c>
      <c r="G17" s="96">
        <v>4</v>
      </c>
      <c r="J17" s="166" t="s">
        <v>250</v>
      </c>
      <c r="AI17" s="89" t="s">
        <v>94</v>
      </c>
    </row>
    <row r="18" spans="4:35">
      <c r="D18" s="94" t="s">
        <v>37</v>
      </c>
      <c r="E18" s="96">
        <v>4</v>
      </c>
      <c r="F18" s="96">
        <v>3</v>
      </c>
      <c r="G18" s="96">
        <v>4</v>
      </c>
      <c r="J18" s="166" t="s">
        <v>251</v>
      </c>
      <c r="K18" s="212"/>
      <c r="AI18" s="89" t="s">
        <v>49</v>
      </c>
    </row>
    <row r="19" spans="4:35">
      <c r="D19" s="94" t="s">
        <v>38</v>
      </c>
      <c r="E19" s="96">
        <v>4</v>
      </c>
      <c r="F19" s="96">
        <v>3</v>
      </c>
      <c r="G19" s="96">
        <v>4</v>
      </c>
      <c r="J19" s="166" t="s">
        <v>252</v>
      </c>
      <c r="K19" s="212"/>
    </row>
    <row r="20" spans="4:35">
      <c r="D20" s="94" t="s">
        <v>28</v>
      </c>
      <c r="E20" s="96">
        <v>4</v>
      </c>
      <c r="F20" s="96">
        <v>3</v>
      </c>
      <c r="G20" s="96">
        <v>4</v>
      </c>
      <c r="J20" s="166" t="s">
        <v>253</v>
      </c>
      <c r="K20" s="212"/>
    </row>
    <row r="21" spans="4:35">
      <c r="D21" s="94" t="s">
        <v>39</v>
      </c>
      <c r="E21" s="96">
        <v>4</v>
      </c>
      <c r="F21" s="96">
        <v>3</v>
      </c>
      <c r="G21" s="96">
        <v>4</v>
      </c>
      <c r="J21" s="166" t="s">
        <v>254</v>
      </c>
      <c r="K21" s="212"/>
    </row>
    <row r="22" spans="4:35">
      <c r="D22" s="94" t="s">
        <v>42</v>
      </c>
      <c r="E22" s="96">
        <v>4</v>
      </c>
      <c r="F22" s="96">
        <v>3</v>
      </c>
      <c r="G22" s="96">
        <v>4</v>
      </c>
      <c r="J22" s="166"/>
      <c r="K22" s="213"/>
    </row>
    <row r="23" spans="4:35">
      <c r="D23" s="94" t="s">
        <v>43</v>
      </c>
      <c r="E23" s="96">
        <v>4</v>
      </c>
      <c r="F23" s="96">
        <v>3</v>
      </c>
      <c r="G23" s="96">
        <v>4</v>
      </c>
    </row>
    <row r="24" spans="4:35">
      <c r="D24" s="94" t="s">
        <v>112</v>
      </c>
      <c r="E24" s="96">
        <v>3</v>
      </c>
      <c r="F24" s="96">
        <v>3</v>
      </c>
      <c r="G24" s="96">
        <v>3</v>
      </c>
    </row>
    <row r="25" spans="4:35">
      <c r="D25" s="94" t="s">
        <v>113</v>
      </c>
      <c r="E25" s="96">
        <v>3</v>
      </c>
      <c r="F25" s="96">
        <v>3</v>
      </c>
      <c r="G25" s="96">
        <v>3</v>
      </c>
    </row>
    <row r="26" spans="4:35">
      <c r="D26" s="94" t="s">
        <v>114</v>
      </c>
      <c r="E26" s="96">
        <v>4</v>
      </c>
      <c r="F26" s="96">
        <v>3</v>
      </c>
      <c r="G26" s="96">
        <v>4</v>
      </c>
    </row>
    <row r="27" spans="4:35">
      <c r="D27" s="94" t="s">
        <v>115</v>
      </c>
      <c r="E27" s="96">
        <v>4</v>
      </c>
      <c r="F27" s="96">
        <v>3</v>
      </c>
      <c r="G27" s="96">
        <v>4</v>
      </c>
    </row>
    <row r="28" spans="4:35">
      <c r="D28" s="94" t="s">
        <v>116</v>
      </c>
      <c r="E28" s="96">
        <v>4</v>
      </c>
      <c r="F28" s="96">
        <v>3</v>
      </c>
      <c r="G28" s="96">
        <v>4</v>
      </c>
    </row>
    <row r="29" spans="4:35">
      <c r="D29" s="94" t="s">
        <v>117</v>
      </c>
      <c r="E29" s="96">
        <v>4</v>
      </c>
      <c r="F29" s="96">
        <v>3</v>
      </c>
      <c r="G29" s="96">
        <v>4</v>
      </c>
    </row>
    <row r="30" spans="4:35">
      <c r="D30" s="94" t="s">
        <v>118</v>
      </c>
      <c r="E30" s="96">
        <v>1</v>
      </c>
      <c r="F30" s="96">
        <v>1</v>
      </c>
      <c r="G30" s="96">
        <v>1</v>
      </c>
    </row>
    <row r="31" spans="4:35">
      <c r="D31" s="94" t="s">
        <v>119</v>
      </c>
      <c r="E31" s="96">
        <v>1</v>
      </c>
      <c r="F31" s="96">
        <v>1</v>
      </c>
      <c r="G31" s="96">
        <v>1</v>
      </c>
    </row>
    <row r="32" spans="4:35">
      <c r="D32" s="94" t="s">
        <v>55</v>
      </c>
      <c r="E32" s="96">
        <v>4</v>
      </c>
      <c r="F32" s="96">
        <v>3</v>
      </c>
      <c r="G32" s="96">
        <v>5</v>
      </c>
    </row>
    <row r="33" spans="4:7">
      <c r="D33" s="94" t="s">
        <v>56</v>
      </c>
      <c r="E33" s="96">
        <v>4</v>
      </c>
      <c r="F33" s="96">
        <v>3</v>
      </c>
      <c r="G33" s="96">
        <v>5</v>
      </c>
    </row>
    <row r="34" spans="4:7">
      <c r="D34" s="94" t="s">
        <v>29</v>
      </c>
      <c r="E34" s="96">
        <v>4</v>
      </c>
      <c r="F34" s="96">
        <v>3</v>
      </c>
      <c r="G34" s="96">
        <v>5</v>
      </c>
    </row>
    <row r="35" spans="4:7">
      <c r="D35" s="94" t="s">
        <v>53</v>
      </c>
      <c r="E35" s="96">
        <v>4</v>
      </c>
      <c r="F35" s="96">
        <v>3</v>
      </c>
      <c r="G35" s="96">
        <v>5</v>
      </c>
    </row>
    <row r="36" spans="4:7">
      <c r="D36" s="94" t="s">
        <v>52</v>
      </c>
      <c r="E36" s="96">
        <v>4</v>
      </c>
      <c r="F36" s="96">
        <v>3</v>
      </c>
      <c r="G36" s="96">
        <v>5</v>
      </c>
    </row>
    <row r="37" spans="4:7">
      <c r="D37" s="94" t="s">
        <v>34</v>
      </c>
      <c r="E37" s="96">
        <v>4</v>
      </c>
      <c r="F37" s="96">
        <v>3</v>
      </c>
      <c r="G37" s="96">
        <v>5</v>
      </c>
    </row>
    <row r="38" spans="4:7">
      <c r="D38" s="94" t="s">
        <v>54</v>
      </c>
      <c r="E38" s="96">
        <v>4</v>
      </c>
      <c r="F38" s="96">
        <v>3</v>
      </c>
      <c r="G38" s="96">
        <v>5</v>
      </c>
    </row>
    <row r="39" spans="4:7">
      <c r="D39" s="95" t="s">
        <v>77</v>
      </c>
      <c r="E39" s="96">
        <v>4</v>
      </c>
      <c r="F39" s="96">
        <v>3</v>
      </c>
      <c r="G39" s="96">
        <v>5</v>
      </c>
    </row>
    <row r="40" spans="4:7">
      <c r="D40" s="94" t="s">
        <v>40</v>
      </c>
      <c r="E40" s="96">
        <v>4</v>
      </c>
      <c r="F40" s="96">
        <v>3</v>
      </c>
      <c r="G40" s="96">
        <v>5</v>
      </c>
    </row>
    <row r="41" spans="4:7">
      <c r="D41" s="94" t="s">
        <v>64</v>
      </c>
      <c r="E41" s="96">
        <v>4</v>
      </c>
      <c r="F41" s="96">
        <v>3</v>
      </c>
      <c r="G41" s="96">
        <v>5</v>
      </c>
    </row>
    <row r="42" spans="4:7">
      <c r="D42" s="94" t="s">
        <v>120</v>
      </c>
      <c r="E42" s="96">
        <v>4</v>
      </c>
      <c r="F42" s="96">
        <v>3</v>
      </c>
      <c r="G42" s="96">
        <v>5</v>
      </c>
    </row>
    <row r="43" spans="4:7">
      <c r="D43" s="94" t="s">
        <v>121</v>
      </c>
      <c r="E43" s="96">
        <v>4</v>
      </c>
      <c r="F43" s="96">
        <v>3</v>
      </c>
      <c r="G43" s="96">
        <v>5</v>
      </c>
    </row>
    <row r="44" spans="4:7">
      <c r="D44" s="94" t="s">
        <v>122</v>
      </c>
      <c r="E44" s="96">
        <v>4</v>
      </c>
      <c r="F44" s="96">
        <v>3</v>
      </c>
      <c r="G44" s="96">
        <v>5</v>
      </c>
    </row>
    <row r="45" spans="4:7">
      <c r="D45" s="94" t="s">
        <v>123</v>
      </c>
      <c r="E45" s="96">
        <v>4</v>
      </c>
      <c r="F45" s="96">
        <v>3</v>
      </c>
      <c r="G45" s="96">
        <v>5</v>
      </c>
    </row>
    <row r="46" spans="4:7">
      <c r="D46" s="95" t="s">
        <v>124</v>
      </c>
      <c r="E46" s="96">
        <v>4</v>
      </c>
      <c r="F46" s="96">
        <v>3</v>
      </c>
      <c r="G46" s="96">
        <v>5</v>
      </c>
    </row>
    <row r="47" spans="4:7">
      <c r="D47" s="94" t="s">
        <v>125</v>
      </c>
      <c r="E47" s="96">
        <v>4</v>
      </c>
      <c r="F47" s="96">
        <v>3</v>
      </c>
      <c r="G47" s="96">
        <v>5</v>
      </c>
    </row>
    <row r="48" spans="4:7">
      <c r="D48" s="95" t="s">
        <v>126</v>
      </c>
      <c r="E48" s="96">
        <v>4</v>
      </c>
      <c r="F48" s="96">
        <v>3</v>
      </c>
      <c r="G48" s="96">
        <v>5</v>
      </c>
    </row>
    <row r="49" spans="4:7">
      <c r="D49" s="95" t="s">
        <v>127</v>
      </c>
      <c r="E49" s="96">
        <v>3</v>
      </c>
      <c r="F49" s="96">
        <v>2</v>
      </c>
      <c r="G49" s="96">
        <v>4</v>
      </c>
    </row>
    <row r="50" spans="4:7">
      <c r="D50" s="95" t="s">
        <v>128</v>
      </c>
      <c r="E50" s="96">
        <v>3</v>
      </c>
      <c r="F50" s="96">
        <v>2</v>
      </c>
      <c r="G50" s="96">
        <v>4</v>
      </c>
    </row>
    <row r="51" spans="4:7">
      <c r="D51" s="94" t="s">
        <v>129</v>
      </c>
      <c r="E51" s="96">
        <v>3</v>
      </c>
      <c r="F51" s="96">
        <v>2</v>
      </c>
      <c r="G51" s="96">
        <v>4</v>
      </c>
    </row>
    <row r="52" spans="4:7">
      <c r="D52" s="94" t="s">
        <v>80</v>
      </c>
      <c r="E52" s="96">
        <v>3</v>
      </c>
      <c r="F52" s="96">
        <v>2</v>
      </c>
      <c r="G52" s="96">
        <v>4</v>
      </c>
    </row>
    <row r="53" spans="4:7">
      <c r="D53" s="94" t="s">
        <v>81</v>
      </c>
      <c r="E53" s="96">
        <v>3</v>
      </c>
      <c r="F53" s="96">
        <v>2</v>
      </c>
      <c r="G53" s="96">
        <v>4</v>
      </c>
    </row>
    <row r="54" spans="4:7">
      <c r="D54" s="94" t="s">
        <v>110</v>
      </c>
      <c r="E54" s="96">
        <v>4</v>
      </c>
      <c r="F54" s="96">
        <v>3</v>
      </c>
      <c r="G54" s="96">
        <v>5</v>
      </c>
    </row>
    <row r="55" spans="4:7">
      <c r="D55" s="94" t="s">
        <v>47</v>
      </c>
      <c r="E55" s="96">
        <v>4</v>
      </c>
      <c r="F55" s="96">
        <v>3</v>
      </c>
      <c r="G55" s="96">
        <v>5</v>
      </c>
    </row>
    <row r="56" spans="4:7">
      <c r="D56" s="94" t="s">
        <v>82</v>
      </c>
      <c r="E56" s="96">
        <v>4</v>
      </c>
      <c r="F56" s="96">
        <v>3</v>
      </c>
      <c r="G56" s="96">
        <v>5</v>
      </c>
    </row>
    <row r="57" spans="4:7">
      <c r="D57" s="94" t="s">
        <v>130</v>
      </c>
      <c r="E57" s="96">
        <v>4</v>
      </c>
      <c r="F57" s="96">
        <v>3</v>
      </c>
      <c r="G57" s="96">
        <v>5</v>
      </c>
    </row>
    <row r="58" spans="4:7">
      <c r="D58" s="94" t="s">
        <v>131</v>
      </c>
      <c r="E58" s="96">
        <v>4</v>
      </c>
      <c r="F58" s="96">
        <v>3</v>
      </c>
      <c r="G58" s="96">
        <v>5</v>
      </c>
    </row>
    <row r="59" spans="4:7">
      <c r="D59" s="94" t="s">
        <v>132</v>
      </c>
      <c r="E59" s="96">
        <v>4</v>
      </c>
      <c r="F59" s="96">
        <v>3</v>
      </c>
      <c r="G59" s="96">
        <v>5</v>
      </c>
    </row>
    <row r="60" spans="4:7">
      <c r="D60" s="94" t="s">
        <v>133</v>
      </c>
      <c r="E60" s="96">
        <v>4</v>
      </c>
      <c r="F60" s="96">
        <v>3</v>
      </c>
      <c r="G60" s="96">
        <v>5</v>
      </c>
    </row>
    <row r="61" spans="4:7">
      <c r="D61" s="94" t="s">
        <v>134</v>
      </c>
      <c r="E61" s="96">
        <v>4</v>
      </c>
      <c r="F61" s="96">
        <v>3</v>
      </c>
      <c r="G61" s="96">
        <v>5</v>
      </c>
    </row>
    <row r="62" spans="4:7">
      <c r="D62" s="94" t="s">
        <v>135</v>
      </c>
      <c r="E62" s="96">
        <v>4</v>
      </c>
      <c r="F62" s="96">
        <v>3</v>
      </c>
      <c r="G62" s="96">
        <v>5</v>
      </c>
    </row>
    <row r="63" spans="4:7">
      <c r="D63" s="94" t="s">
        <v>91</v>
      </c>
      <c r="E63" s="96">
        <v>4</v>
      </c>
      <c r="F63" s="96">
        <v>3</v>
      </c>
      <c r="G63" s="96">
        <v>5</v>
      </c>
    </row>
    <row r="64" spans="4:7">
      <c r="D64" s="94" t="s">
        <v>48</v>
      </c>
      <c r="E64" s="96">
        <v>4</v>
      </c>
      <c r="F64" s="96">
        <v>3</v>
      </c>
      <c r="G64" s="96">
        <v>5</v>
      </c>
    </row>
    <row r="65" spans="4:7">
      <c r="D65" s="94" t="s">
        <v>75</v>
      </c>
      <c r="E65" s="96">
        <v>3</v>
      </c>
      <c r="F65" s="96">
        <v>2</v>
      </c>
      <c r="G65" s="96">
        <v>4</v>
      </c>
    </row>
    <row r="66" spans="4:7">
      <c r="D66" s="94" t="s">
        <v>51</v>
      </c>
      <c r="E66" s="96">
        <v>3</v>
      </c>
      <c r="F66" s="96">
        <v>2</v>
      </c>
      <c r="G66" s="96">
        <v>4</v>
      </c>
    </row>
    <row r="67" spans="4:7">
      <c r="D67" s="94" t="s">
        <v>57</v>
      </c>
      <c r="E67" s="96">
        <v>4</v>
      </c>
      <c r="F67" s="96">
        <v>3</v>
      </c>
      <c r="G67" s="96">
        <v>5</v>
      </c>
    </row>
    <row r="68" spans="4:7">
      <c r="D68" s="94" t="s">
        <v>76</v>
      </c>
      <c r="E68" s="96">
        <v>4</v>
      </c>
      <c r="F68" s="96">
        <v>3</v>
      </c>
      <c r="G68" s="96">
        <v>5</v>
      </c>
    </row>
    <row r="69" spans="4:7">
      <c r="D69" s="94" t="s">
        <v>31</v>
      </c>
      <c r="E69" s="96">
        <v>4</v>
      </c>
      <c r="F69" s="96">
        <v>3</v>
      </c>
      <c r="G69" s="96">
        <v>5</v>
      </c>
    </row>
    <row r="70" spans="4:7">
      <c r="D70" s="94" t="s">
        <v>103</v>
      </c>
      <c r="E70" s="96">
        <v>4</v>
      </c>
      <c r="F70" s="96">
        <v>3</v>
      </c>
      <c r="G70" s="96">
        <v>5</v>
      </c>
    </row>
    <row r="71" spans="4:7">
      <c r="D71" s="94" t="s">
        <v>104</v>
      </c>
      <c r="E71" s="96">
        <v>4</v>
      </c>
      <c r="F71" s="96">
        <v>3</v>
      </c>
      <c r="G71" s="96">
        <v>5</v>
      </c>
    </row>
    <row r="72" spans="4:7">
      <c r="D72" s="94" t="s">
        <v>106</v>
      </c>
      <c r="E72" s="96">
        <v>4</v>
      </c>
      <c r="F72" s="96">
        <v>3</v>
      </c>
      <c r="G72" s="96">
        <v>5</v>
      </c>
    </row>
    <row r="73" spans="4:7">
      <c r="D73" s="94" t="s">
        <v>105</v>
      </c>
      <c r="E73" s="96">
        <v>4</v>
      </c>
      <c r="F73" s="96">
        <v>3</v>
      </c>
      <c r="G73" s="96">
        <v>5</v>
      </c>
    </row>
    <row r="74" spans="4:7">
      <c r="D74" s="94" t="s">
        <v>35</v>
      </c>
      <c r="E74" s="96">
        <v>4</v>
      </c>
      <c r="F74" s="96">
        <v>3</v>
      </c>
      <c r="G74" s="96">
        <v>5</v>
      </c>
    </row>
    <row r="75" spans="4:7">
      <c r="D75" s="94" t="s">
        <v>100</v>
      </c>
      <c r="E75" s="96">
        <v>4</v>
      </c>
      <c r="F75" s="96">
        <v>3</v>
      </c>
      <c r="G75" s="96">
        <v>5</v>
      </c>
    </row>
    <row r="76" spans="4:7">
      <c r="D76" s="95" t="s">
        <v>78</v>
      </c>
      <c r="E76" s="96">
        <v>4</v>
      </c>
      <c r="F76" s="96">
        <v>3</v>
      </c>
      <c r="G76" s="96">
        <v>5</v>
      </c>
    </row>
    <row r="77" spans="4:7">
      <c r="D77" s="95" t="s">
        <v>136</v>
      </c>
      <c r="E77" s="96">
        <v>4</v>
      </c>
      <c r="F77" s="96">
        <v>3</v>
      </c>
      <c r="G77" s="96">
        <v>5</v>
      </c>
    </row>
    <row r="78" spans="4:7">
      <c r="D78" s="94" t="s">
        <v>137</v>
      </c>
      <c r="E78" s="96">
        <v>4</v>
      </c>
      <c r="F78" s="96">
        <v>3</v>
      </c>
      <c r="G78" s="96">
        <v>5</v>
      </c>
    </row>
    <row r="79" spans="4:7">
      <c r="D79" s="94" t="s">
        <v>138</v>
      </c>
      <c r="E79" s="96">
        <v>4</v>
      </c>
      <c r="F79" s="96">
        <v>3</v>
      </c>
      <c r="G79" s="96">
        <v>5</v>
      </c>
    </row>
    <row r="80" spans="4:7">
      <c r="D80" s="95" t="s">
        <v>139</v>
      </c>
      <c r="E80" s="96">
        <v>4</v>
      </c>
      <c r="F80" s="96">
        <v>3</v>
      </c>
      <c r="G80" s="96">
        <v>5</v>
      </c>
    </row>
    <row r="81" spans="4:7">
      <c r="D81" s="94" t="s">
        <v>140</v>
      </c>
      <c r="E81" s="96">
        <v>4</v>
      </c>
      <c r="F81" s="96">
        <v>3</v>
      </c>
      <c r="G81" s="96">
        <v>5</v>
      </c>
    </row>
    <row r="82" spans="4:7">
      <c r="D82" s="94" t="s">
        <v>141</v>
      </c>
      <c r="E82" s="96">
        <v>4</v>
      </c>
      <c r="F82" s="96">
        <v>3</v>
      </c>
      <c r="G82" s="96">
        <v>5</v>
      </c>
    </row>
    <row r="83" spans="4:7">
      <c r="D83" s="94" t="s">
        <v>142</v>
      </c>
      <c r="E83" s="96">
        <v>4</v>
      </c>
      <c r="F83" s="96">
        <v>3</v>
      </c>
      <c r="G83" s="96">
        <v>5</v>
      </c>
    </row>
    <row r="84" spans="4:7">
      <c r="D84" s="95" t="s">
        <v>143</v>
      </c>
      <c r="E84" s="96">
        <v>4</v>
      </c>
      <c r="F84" s="96">
        <v>3</v>
      </c>
      <c r="G84" s="96">
        <v>5</v>
      </c>
    </row>
    <row r="85" spans="4:7">
      <c r="D85" s="95" t="s">
        <v>144</v>
      </c>
      <c r="E85" s="96">
        <v>4</v>
      </c>
      <c r="F85" s="96">
        <v>3</v>
      </c>
      <c r="G85" s="96">
        <v>5</v>
      </c>
    </row>
    <row r="86" spans="4:7">
      <c r="D86" s="95" t="s">
        <v>145</v>
      </c>
      <c r="E86" s="96">
        <v>4</v>
      </c>
      <c r="F86" s="96">
        <v>3</v>
      </c>
      <c r="G86" s="96">
        <v>5</v>
      </c>
    </row>
    <row r="87" spans="4:7">
      <c r="D87" s="94" t="s">
        <v>79</v>
      </c>
      <c r="E87" s="96">
        <v>4</v>
      </c>
      <c r="F87" s="96">
        <v>3</v>
      </c>
      <c r="G87" s="96">
        <v>5</v>
      </c>
    </row>
    <row r="88" spans="4:7">
      <c r="D88" s="94" t="s">
        <v>44</v>
      </c>
      <c r="E88" s="96">
        <v>4</v>
      </c>
      <c r="F88" s="96">
        <v>3</v>
      </c>
      <c r="G88" s="96">
        <v>5</v>
      </c>
    </row>
    <row r="89" spans="4:7">
      <c r="D89" s="94" t="s">
        <v>66</v>
      </c>
      <c r="E89" s="96">
        <v>4</v>
      </c>
      <c r="F89" s="96">
        <v>3</v>
      </c>
      <c r="G89" s="96">
        <v>5</v>
      </c>
    </row>
    <row r="90" spans="4:7">
      <c r="D90" s="94" t="s">
        <v>67</v>
      </c>
      <c r="E90" s="96">
        <v>4</v>
      </c>
      <c r="F90" s="96">
        <v>3</v>
      </c>
      <c r="G90" s="96">
        <v>5</v>
      </c>
    </row>
    <row r="91" spans="4:7">
      <c r="D91" s="94" t="s">
        <v>68</v>
      </c>
      <c r="E91" s="96">
        <v>4</v>
      </c>
      <c r="F91" s="96">
        <v>3</v>
      </c>
      <c r="G91" s="96">
        <v>5</v>
      </c>
    </row>
    <row r="92" spans="4:7">
      <c r="D92" s="94" t="s">
        <v>146</v>
      </c>
      <c r="E92" s="96">
        <v>4</v>
      </c>
      <c r="F92" s="96">
        <v>3</v>
      </c>
      <c r="G92" s="96">
        <v>5</v>
      </c>
    </row>
    <row r="93" spans="4:7">
      <c r="D93" s="94" t="s">
        <v>147</v>
      </c>
      <c r="E93" s="96">
        <v>4</v>
      </c>
      <c r="F93" s="96">
        <v>3</v>
      </c>
      <c r="G93" s="96">
        <v>5</v>
      </c>
    </row>
    <row r="94" spans="4:7">
      <c r="D94" s="94" t="s">
        <v>148</v>
      </c>
      <c r="E94" s="96">
        <v>4</v>
      </c>
      <c r="F94" s="96">
        <v>3</v>
      </c>
      <c r="G94" s="96">
        <v>5</v>
      </c>
    </row>
    <row r="95" spans="4:7">
      <c r="D95" s="94" t="s">
        <v>149</v>
      </c>
      <c r="E95" s="96">
        <v>4</v>
      </c>
      <c r="F95" s="96">
        <v>3</v>
      </c>
      <c r="G95" s="96">
        <v>5</v>
      </c>
    </row>
    <row r="96" spans="4:7">
      <c r="D96" s="94" t="s">
        <v>150</v>
      </c>
      <c r="E96" s="96">
        <v>4</v>
      </c>
      <c r="F96" s="96">
        <v>3</v>
      </c>
      <c r="G96" s="96">
        <v>5</v>
      </c>
    </row>
    <row r="97" spans="4:7">
      <c r="D97" s="94" t="s">
        <v>151</v>
      </c>
      <c r="E97" s="96">
        <v>3</v>
      </c>
      <c r="F97" s="96">
        <v>2</v>
      </c>
      <c r="G97" s="96">
        <v>4</v>
      </c>
    </row>
    <row r="98" spans="4:7">
      <c r="D98" s="94" t="s">
        <v>107</v>
      </c>
      <c r="E98" s="97">
        <v>2</v>
      </c>
      <c r="F98" s="97">
        <v>1</v>
      </c>
      <c r="G98" s="97">
        <v>2</v>
      </c>
    </row>
    <row r="99" spans="4:7">
      <c r="D99" s="94" t="s">
        <v>108</v>
      </c>
      <c r="E99" s="97">
        <v>2</v>
      </c>
      <c r="F99" s="97">
        <v>1</v>
      </c>
      <c r="G99" s="97">
        <v>2</v>
      </c>
    </row>
    <row r="100" spans="4:7">
      <c r="D100" s="94" t="s">
        <v>69</v>
      </c>
      <c r="E100" s="96">
        <v>3</v>
      </c>
      <c r="F100" s="96">
        <v>2</v>
      </c>
      <c r="G100" s="96">
        <v>4</v>
      </c>
    </row>
    <row r="101" spans="4:7">
      <c r="D101" s="94" t="s">
        <v>71</v>
      </c>
      <c r="E101" s="96">
        <v>3</v>
      </c>
      <c r="F101" s="96">
        <v>2</v>
      </c>
      <c r="G101" s="96">
        <v>4</v>
      </c>
    </row>
    <row r="102" spans="4:7">
      <c r="D102" s="94" t="s">
        <v>72</v>
      </c>
      <c r="E102" s="96">
        <v>3</v>
      </c>
      <c r="F102" s="96">
        <v>2</v>
      </c>
      <c r="G102" s="96">
        <v>4</v>
      </c>
    </row>
    <row r="103" spans="4:7">
      <c r="D103" s="94" t="s">
        <v>45</v>
      </c>
      <c r="E103" s="96">
        <v>3</v>
      </c>
      <c r="F103" s="96">
        <v>2</v>
      </c>
      <c r="G103" s="96">
        <v>4</v>
      </c>
    </row>
    <row r="104" spans="4:7">
      <c r="D104" s="94" t="s">
        <v>152</v>
      </c>
      <c r="E104" s="96">
        <v>4</v>
      </c>
      <c r="F104" s="96">
        <v>3</v>
      </c>
      <c r="G104" s="96">
        <v>5</v>
      </c>
    </row>
    <row r="105" spans="4:7">
      <c r="D105" s="94" t="s">
        <v>153</v>
      </c>
      <c r="E105" s="96">
        <v>4</v>
      </c>
      <c r="F105" s="96">
        <v>3</v>
      </c>
      <c r="G105" s="96">
        <v>5</v>
      </c>
    </row>
    <row r="106" spans="4:7">
      <c r="D106" s="95" t="s">
        <v>154</v>
      </c>
      <c r="E106" s="96">
        <v>4</v>
      </c>
      <c r="F106" s="96">
        <v>3</v>
      </c>
      <c r="G106" s="96">
        <v>5</v>
      </c>
    </row>
    <row r="107" spans="4:7">
      <c r="D107" s="95" t="s">
        <v>155</v>
      </c>
      <c r="E107" s="96">
        <v>4</v>
      </c>
      <c r="F107" s="96">
        <v>3</v>
      </c>
      <c r="G107" s="96">
        <v>5</v>
      </c>
    </row>
    <row r="108" spans="4:7">
      <c r="D108" s="95" t="s">
        <v>156</v>
      </c>
      <c r="E108" s="96">
        <v>4</v>
      </c>
      <c r="F108" s="96">
        <v>3</v>
      </c>
      <c r="G108" s="96">
        <v>5</v>
      </c>
    </row>
    <row r="109" spans="4:7">
      <c r="D109" s="94" t="s">
        <v>157</v>
      </c>
      <c r="E109" s="96">
        <v>4</v>
      </c>
      <c r="F109" s="96">
        <v>3</v>
      </c>
      <c r="G109" s="96">
        <v>5</v>
      </c>
    </row>
    <row r="110" spans="4:7">
      <c r="D110" s="95" t="s">
        <v>158</v>
      </c>
      <c r="E110" s="96">
        <v>4</v>
      </c>
      <c r="F110" s="96">
        <v>3</v>
      </c>
      <c r="G110" s="96">
        <v>5</v>
      </c>
    </row>
    <row r="111" spans="4:7">
      <c r="D111" s="94" t="s">
        <v>159</v>
      </c>
      <c r="E111" s="96">
        <v>4</v>
      </c>
      <c r="F111" s="96">
        <v>3</v>
      </c>
      <c r="G111" s="96">
        <v>5</v>
      </c>
    </row>
    <row r="112" spans="4:7">
      <c r="D112" s="95" t="s">
        <v>83</v>
      </c>
      <c r="E112" s="96">
        <v>4</v>
      </c>
      <c r="F112" s="96">
        <v>3</v>
      </c>
      <c r="G112" s="96">
        <v>5</v>
      </c>
    </row>
    <row r="113" spans="4:7">
      <c r="D113" s="94" t="s">
        <v>92</v>
      </c>
      <c r="E113" s="96">
        <v>4</v>
      </c>
      <c r="F113" s="96">
        <v>3</v>
      </c>
      <c r="G113" s="96">
        <v>5</v>
      </c>
    </row>
    <row r="114" spans="4:7">
      <c r="D114" s="95" t="s">
        <v>84</v>
      </c>
      <c r="E114" s="96">
        <v>4</v>
      </c>
      <c r="F114" s="96">
        <v>3</v>
      </c>
      <c r="G114" s="96">
        <v>5</v>
      </c>
    </row>
    <row r="115" spans="4:7">
      <c r="D115" s="94" t="s">
        <v>93</v>
      </c>
      <c r="E115" s="96">
        <v>4</v>
      </c>
      <c r="F115" s="96">
        <v>3</v>
      </c>
      <c r="G115" s="96">
        <v>5</v>
      </c>
    </row>
    <row r="116" spans="4:7">
      <c r="D116" s="95" t="s">
        <v>177</v>
      </c>
      <c r="E116" s="96">
        <v>4</v>
      </c>
      <c r="F116" s="96">
        <v>3</v>
      </c>
      <c r="G116" s="96">
        <v>5</v>
      </c>
    </row>
    <row r="117" spans="4:7">
      <c r="D117" s="94" t="s">
        <v>178</v>
      </c>
      <c r="E117" s="96">
        <v>4</v>
      </c>
      <c r="F117" s="96">
        <v>3</v>
      </c>
      <c r="G117" s="96">
        <v>5</v>
      </c>
    </row>
    <row r="118" spans="4:7">
      <c r="D118" s="95" t="s">
        <v>179</v>
      </c>
      <c r="E118" s="96">
        <v>4</v>
      </c>
      <c r="F118" s="96">
        <v>3</v>
      </c>
      <c r="G118" s="96">
        <v>5</v>
      </c>
    </row>
    <row r="119" spans="4:7">
      <c r="D119" s="94" t="s">
        <v>180</v>
      </c>
      <c r="E119" s="96">
        <v>4</v>
      </c>
      <c r="F119" s="96">
        <v>3</v>
      </c>
      <c r="G119" s="96">
        <v>5</v>
      </c>
    </row>
    <row r="120" spans="4:7">
      <c r="D120" s="95" t="s">
        <v>181</v>
      </c>
      <c r="E120" s="96">
        <v>4</v>
      </c>
      <c r="F120" s="96">
        <v>3</v>
      </c>
      <c r="G120" s="96">
        <v>5</v>
      </c>
    </row>
    <row r="121" spans="4:7">
      <c r="D121" s="94" t="s">
        <v>182</v>
      </c>
      <c r="E121" s="96">
        <v>4</v>
      </c>
      <c r="F121" s="96">
        <v>3</v>
      </c>
      <c r="G121" s="96">
        <v>5</v>
      </c>
    </row>
    <row r="122" spans="4:7">
      <c r="D122" s="95" t="s">
        <v>183</v>
      </c>
      <c r="E122" s="96">
        <v>4</v>
      </c>
      <c r="F122" s="96">
        <v>3</v>
      </c>
      <c r="G122" s="96">
        <v>5</v>
      </c>
    </row>
    <row r="123" spans="4:7">
      <c r="D123" s="94" t="s">
        <v>94</v>
      </c>
      <c r="E123" s="96">
        <v>4</v>
      </c>
      <c r="F123" s="96">
        <v>3</v>
      </c>
      <c r="G123" s="96">
        <v>5</v>
      </c>
    </row>
    <row r="124" spans="4:7">
      <c r="D124" s="94" t="s">
        <v>49</v>
      </c>
      <c r="E124" s="96">
        <v>4</v>
      </c>
      <c r="F124" s="96">
        <v>3</v>
      </c>
      <c r="G124" s="96">
        <v>5</v>
      </c>
    </row>
    <row r="125" spans="4:7">
      <c r="D125" s="95" t="s">
        <v>87</v>
      </c>
      <c r="E125" s="96">
        <v>3</v>
      </c>
      <c r="F125" s="96">
        <v>2</v>
      </c>
      <c r="G125" s="96">
        <v>4</v>
      </c>
    </row>
    <row r="126" spans="4:7">
      <c r="D126" s="94" t="s">
        <v>97</v>
      </c>
      <c r="E126" s="96">
        <v>3</v>
      </c>
      <c r="F126" s="96">
        <v>2</v>
      </c>
      <c r="G126" s="96">
        <v>4</v>
      </c>
    </row>
    <row r="127" spans="4:7">
      <c r="D127" s="95" t="s">
        <v>88</v>
      </c>
      <c r="E127" s="96">
        <v>3</v>
      </c>
      <c r="F127" s="96">
        <v>2</v>
      </c>
      <c r="G127" s="96">
        <v>4</v>
      </c>
    </row>
    <row r="128" spans="4:7">
      <c r="D128" s="94" t="s">
        <v>98</v>
      </c>
      <c r="E128" s="96">
        <v>3</v>
      </c>
      <c r="F128" s="96">
        <v>2</v>
      </c>
      <c r="G128" s="96">
        <v>4</v>
      </c>
    </row>
    <row r="129" spans="4:7">
      <c r="D129" s="95" t="s">
        <v>90</v>
      </c>
      <c r="E129" s="96">
        <v>3</v>
      </c>
      <c r="F129" s="96">
        <v>2</v>
      </c>
      <c r="G129" s="96">
        <v>4</v>
      </c>
    </row>
    <row r="130" spans="4:7">
      <c r="D130" s="94" t="s">
        <v>99</v>
      </c>
      <c r="E130" s="96">
        <v>3</v>
      </c>
      <c r="F130" s="96">
        <v>2</v>
      </c>
      <c r="G130" s="96">
        <v>4</v>
      </c>
    </row>
    <row r="131" spans="4:7">
      <c r="D131" s="94" t="s">
        <v>58</v>
      </c>
      <c r="E131" s="96">
        <v>4</v>
      </c>
      <c r="F131" s="96">
        <v>3</v>
      </c>
      <c r="G131" s="96">
        <v>5</v>
      </c>
    </row>
    <row r="132" spans="4:7">
      <c r="D132" s="94" t="s">
        <v>59</v>
      </c>
      <c r="E132" s="96">
        <v>4</v>
      </c>
      <c r="F132" s="96">
        <v>3</v>
      </c>
      <c r="G132" s="96">
        <v>5</v>
      </c>
    </row>
    <row r="133" spans="4:7">
      <c r="D133" s="94" t="s">
        <v>32</v>
      </c>
      <c r="E133" s="96">
        <v>4</v>
      </c>
      <c r="F133" s="96">
        <v>3</v>
      </c>
      <c r="G133" s="96">
        <v>5</v>
      </c>
    </row>
    <row r="134" spans="4:7">
      <c r="D134" s="94" t="s">
        <v>60</v>
      </c>
      <c r="E134" s="96">
        <v>4</v>
      </c>
      <c r="F134" s="96">
        <v>3</v>
      </c>
      <c r="G134" s="96">
        <v>5</v>
      </c>
    </row>
    <row r="135" spans="4:7">
      <c r="D135" s="94" t="s">
        <v>61</v>
      </c>
      <c r="E135" s="96">
        <v>4</v>
      </c>
      <c r="F135" s="96">
        <v>3</v>
      </c>
      <c r="G135" s="96">
        <v>5</v>
      </c>
    </row>
    <row r="136" spans="4:7">
      <c r="D136" s="94" t="s">
        <v>36</v>
      </c>
      <c r="E136" s="96">
        <v>4</v>
      </c>
      <c r="F136" s="96">
        <v>3</v>
      </c>
      <c r="G136" s="96">
        <v>5</v>
      </c>
    </row>
    <row r="137" spans="4:7">
      <c r="D137" s="94" t="s">
        <v>62</v>
      </c>
      <c r="E137" s="96">
        <v>4</v>
      </c>
      <c r="F137" s="96">
        <v>3</v>
      </c>
      <c r="G137" s="96">
        <v>5</v>
      </c>
    </row>
    <row r="138" spans="4:7">
      <c r="D138" s="94" t="s">
        <v>63</v>
      </c>
      <c r="E138" s="96">
        <v>4</v>
      </c>
      <c r="F138" s="96">
        <v>3</v>
      </c>
      <c r="G138" s="96">
        <v>5</v>
      </c>
    </row>
    <row r="139" spans="4:7">
      <c r="D139" s="94" t="s">
        <v>41</v>
      </c>
      <c r="E139" s="96">
        <v>4</v>
      </c>
      <c r="F139" s="96">
        <v>3</v>
      </c>
      <c r="G139" s="96">
        <v>5</v>
      </c>
    </row>
    <row r="140" spans="4:7">
      <c r="D140" s="94" t="s">
        <v>65</v>
      </c>
      <c r="E140" s="96">
        <v>4</v>
      </c>
      <c r="F140" s="96">
        <v>3</v>
      </c>
      <c r="G140" s="96">
        <v>5</v>
      </c>
    </row>
    <row r="141" spans="4:7">
      <c r="D141" s="94" t="s">
        <v>160</v>
      </c>
      <c r="E141" s="96">
        <v>4</v>
      </c>
      <c r="F141" s="96">
        <v>3</v>
      </c>
      <c r="G141" s="96">
        <v>5</v>
      </c>
    </row>
    <row r="142" spans="4:7">
      <c r="D142" s="94" t="s">
        <v>161</v>
      </c>
      <c r="E142" s="96">
        <v>4</v>
      </c>
      <c r="F142" s="96">
        <v>3</v>
      </c>
      <c r="G142" s="96">
        <v>5</v>
      </c>
    </row>
    <row r="143" spans="4:7">
      <c r="D143" s="94" t="s">
        <v>162</v>
      </c>
      <c r="E143" s="96">
        <v>4</v>
      </c>
      <c r="F143" s="96">
        <v>3</v>
      </c>
      <c r="G143" s="96">
        <v>5</v>
      </c>
    </row>
    <row r="144" spans="4:7">
      <c r="D144" s="94" t="s">
        <v>163</v>
      </c>
      <c r="E144" s="96">
        <v>4</v>
      </c>
      <c r="F144" s="96">
        <v>3</v>
      </c>
      <c r="G144" s="96">
        <v>5</v>
      </c>
    </row>
    <row r="145" spans="4:7">
      <c r="D145" s="94" t="s">
        <v>164</v>
      </c>
      <c r="E145" s="96">
        <v>4</v>
      </c>
      <c r="F145" s="96">
        <v>3</v>
      </c>
      <c r="G145" s="96">
        <v>5</v>
      </c>
    </row>
    <row r="146" spans="4:7">
      <c r="D146" s="94" t="s">
        <v>165</v>
      </c>
      <c r="E146" s="96">
        <v>4</v>
      </c>
      <c r="F146" s="96">
        <v>3</v>
      </c>
      <c r="G146" s="96">
        <v>5</v>
      </c>
    </row>
    <row r="147" spans="4:7">
      <c r="D147" s="94" t="s">
        <v>166</v>
      </c>
      <c r="E147" s="96">
        <v>4</v>
      </c>
      <c r="F147" s="96">
        <v>3</v>
      </c>
      <c r="G147" s="96">
        <v>5</v>
      </c>
    </row>
    <row r="148" spans="4:7">
      <c r="D148" s="94" t="s">
        <v>167</v>
      </c>
      <c r="E148" s="96">
        <v>4</v>
      </c>
      <c r="F148" s="96">
        <v>3</v>
      </c>
      <c r="G148" s="96">
        <v>5</v>
      </c>
    </row>
    <row r="149" spans="4:7">
      <c r="D149" s="94" t="s">
        <v>168</v>
      </c>
      <c r="E149" s="96">
        <v>3</v>
      </c>
      <c r="F149" s="96">
        <v>2</v>
      </c>
      <c r="G149" s="96">
        <v>4</v>
      </c>
    </row>
    <row r="150" spans="4:7">
      <c r="D150" s="94" t="s">
        <v>169</v>
      </c>
      <c r="E150" s="96">
        <v>3</v>
      </c>
      <c r="F150" s="96">
        <v>2</v>
      </c>
      <c r="G150" s="96">
        <v>4</v>
      </c>
    </row>
    <row r="151" spans="4:7">
      <c r="D151" s="94" t="s">
        <v>70</v>
      </c>
      <c r="E151" s="96">
        <v>3</v>
      </c>
      <c r="F151" s="96">
        <v>2</v>
      </c>
      <c r="G151" s="96">
        <v>4</v>
      </c>
    </row>
    <row r="152" spans="4:7">
      <c r="D152" s="94" t="s">
        <v>46</v>
      </c>
      <c r="E152" s="96">
        <v>3</v>
      </c>
      <c r="F152" s="96">
        <v>2</v>
      </c>
      <c r="G152" s="96">
        <v>4</v>
      </c>
    </row>
    <row r="153" spans="4:7">
      <c r="D153" s="94" t="s">
        <v>73</v>
      </c>
      <c r="E153" s="96">
        <v>4</v>
      </c>
      <c r="F153" s="96">
        <v>3</v>
      </c>
      <c r="G153" s="96">
        <v>5</v>
      </c>
    </row>
    <row r="154" spans="4:7">
      <c r="D154" s="94" t="s">
        <v>74</v>
      </c>
      <c r="E154" s="96">
        <v>4</v>
      </c>
      <c r="F154" s="96">
        <v>3</v>
      </c>
      <c r="G154" s="96">
        <v>5</v>
      </c>
    </row>
    <row r="155" spans="4:7">
      <c r="D155" s="94" t="s">
        <v>109</v>
      </c>
      <c r="E155" s="97">
        <v>2</v>
      </c>
      <c r="F155" s="97">
        <v>1</v>
      </c>
      <c r="G155" s="97">
        <v>2</v>
      </c>
    </row>
    <row r="156" spans="4:7">
      <c r="D156" s="94" t="s">
        <v>170</v>
      </c>
      <c r="E156" s="96">
        <v>4</v>
      </c>
      <c r="F156" s="96">
        <v>3</v>
      </c>
      <c r="G156" s="96">
        <v>5</v>
      </c>
    </row>
    <row r="157" spans="4:7">
      <c r="D157" s="94" t="s">
        <v>171</v>
      </c>
      <c r="E157" s="96">
        <v>4</v>
      </c>
      <c r="F157" s="96">
        <v>3</v>
      </c>
      <c r="G157" s="96">
        <v>5</v>
      </c>
    </row>
    <row r="158" spans="4:7">
      <c r="D158" s="94" t="s">
        <v>172</v>
      </c>
      <c r="E158" s="96">
        <v>4</v>
      </c>
      <c r="F158" s="96">
        <v>3</v>
      </c>
      <c r="G158" s="96">
        <v>5</v>
      </c>
    </row>
    <row r="159" spans="4:7">
      <c r="D159" s="94" t="s">
        <v>173</v>
      </c>
      <c r="E159" s="96">
        <v>4</v>
      </c>
      <c r="F159" s="96">
        <v>3</v>
      </c>
      <c r="G159" s="96">
        <v>5</v>
      </c>
    </row>
    <row r="160" spans="4:7">
      <c r="D160" s="94" t="s">
        <v>174</v>
      </c>
      <c r="E160" s="96">
        <v>4</v>
      </c>
      <c r="F160" s="96">
        <v>3</v>
      </c>
      <c r="G160" s="96">
        <v>5</v>
      </c>
    </row>
    <row r="161" spans="4:7">
      <c r="D161" s="94" t="s">
        <v>175</v>
      </c>
      <c r="E161" s="96">
        <v>4</v>
      </c>
      <c r="F161" s="96">
        <v>3</v>
      </c>
      <c r="G161" s="96">
        <v>5</v>
      </c>
    </row>
    <row r="162" spans="4:7">
      <c r="D162" s="94" t="s">
        <v>85</v>
      </c>
      <c r="E162" s="96">
        <v>4</v>
      </c>
      <c r="F162" s="96">
        <v>3</v>
      </c>
      <c r="G162" s="96">
        <v>5</v>
      </c>
    </row>
    <row r="163" spans="4:7">
      <c r="D163" s="94" t="s">
        <v>95</v>
      </c>
      <c r="E163" s="96">
        <v>4</v>
      </c>
      <c r="F163" s="96">
        <v>3</v>
      </c>
      <c r="G163" s="96">
        <v>5</v>
      </c>
    </row>
    <row r="164" spans="4:7">
      <c r="D164" s="94" t="s">
        <v>86</v>
      </c>
      <c r="E164" s="96">
        <v>4</v>
      </c>
      <c r="F164" s="96">
        <v>3</v>
      </c>
      <c r="G164" s="96">
        <v>5</v>
      </c>
    </row>
    <row r="165" spans="4:7">
      <c r="D165" s="94" t="s">
        <v>96</v>
      </c>
      <c r="E165" s="96">
        <v>4</v>
      </c>
      <c r="F165" s="96">
        <v>3</v>
      </c>
      <c r="G165" s="96">
        <v>5</v>
      </c>
    </row>
    <row r="166" spans="4:7">
      <c r="D166" s="94" t="s">
        <v>50</v>
      </c>
      <c r="E166" s="96">
        <v>4</v>
      </c>
      <c r="F166" s="96">
        <v>3</v>
      </c>
      <c r="G166" s="96">
        <v>5</v>
      </c>
    </row>
    <row r="167" spans="4:7">
      <c r="D167" s="94" t="s">
        <v>89</v>
      </c>
      <c r="E167" s="96">
        <v>3</v>
      </c>
      <c r="F167" s="96">
        <v>2</v>
      </c>
      <c r="G167" s="96">
        <v>4</v>
      </c>
    </row>
    <row r="168" spans="4:7">
      <c r="D168" s="94" t="s">
        <v>176</v>
      </c>
      <c r="E168" s="96">
        <v>3</v>
      </c>
      <c r="F168" s="96">
        <v>2</v>
      </c>
      <c r="G168" s="96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이승재</cp:lastModifiedBy>
  <cp:lastPrinted>2025-05-20T01:43:42Z</cp:lastPrinted>
  <dcterms:created xsi:type="dcterms:W3CDTF">2002-10-10T04:04:10Z</dcterms:created>
  <dcterms:modified xsi:type="dcterms:W3CDTF">2026-08-14T03:55:38Z</dcterms:modified>
</cp:coreProperties>
</file>