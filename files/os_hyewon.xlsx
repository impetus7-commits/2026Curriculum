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AppData\Local\Temp\handytmp\"/>
    </mc:Choice>
  </mc:AlternateContent>
  <xr:revisionPtr revIDLastSave="0" documentId="13_ncr:1_{87A95EFB-CA31-4B0C-9EB9-EC33A39CF43B}" xr6:coauthVersionLast="47" xr6:coauthVersionMax="47" xr10:uidLastSave="{00000000-0000-0000-0000-000000000000}"/>
  <bookViews>
    <workbookView xWindow="-120" yWindow="-120" windowWidth="29040" windowHeight="15720" tabRatio="680" xr2:uid="{00000000-000D-0000-FFFF-FFFF00000000}"/>
  </bookViews>
  <sheets>
    <sheet name="2027입학생" sheetId="40" r:id="rId1"/>
    <sheet name="배당표 작성 요령" sheetId="46" r:id="rId2"/>
    <sheet name="Sheet1" sheetId="45" state="hidden" r:id="rId3"/>
  </sheets>
  <definedNames>
    <definedName name="_xlnm.Print_Area" localSheetId="0">'2027입학생'!$A$1:$P$125</definedName>
    <definedName name="_xlnm.Print_Titles" localSheetId="0">'2027입학생'!$3:$5</definedName>
    <definedName name="공통">표7_38[공통]</definedName>
    <definedName name="과목유형">표6_27[과목유형]</definedName>
    <definedName name="비고">Sheet1!$F$2:$F$5</definedName>
    <definedName name="융합">표10_611[융합]</definedName>
    <definedName name="일반">표8_49[일반]</definedName>
    <definedName name="진로">표9_510[진로]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4" i="40" l="1"/>
  <c r="I114" i="40"/>
  <c r="O6" i="40"/>
  <c r="O12" i="40"/>
  <c r="O18" i="40"/>
  <c r="O24" i="40"/>
  <c r="O26" i="40"/>
  <c r="O38" i="40" l="1"/>
  <c r="O32" i="40"/>
  <c r="O28" i="40"/>
  <c r="O115" i="40" l="1"/>
  <c r="L116" i="40" l="1"/>
  <c r="K116" i="40"/>
  <c r="J116" i="40"/>
  <c r="I116" i="40"/>
  <c r="H114" i="40"/>
  <c r="H116" i="40" s="1"/>
  <c r="G114" i="40"/>
  <c r="G116" i="40" l="1"/>
  <c r="O116" i="40" s="1"/>
  <c r="O114" i="40"/>
  <c r="K118" i="40"/>
  <c r="I118" i="40"/>
  <c r="G118" i="40" l="1"/>
  <c r="O118" i="40" s="1"/>
</calcChain>
</file>

<file path=xl/sharedStrings.xml><?xml version="1.0" encoding="utf-8"?>
<sst xmlns="http://schemas.openxmlformats.org/spreadsheetml/2006/main" count="538" uniqueCount="345">
  <si>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</si>
  <si>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</si>
  <si>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</si>
  <si>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</si>
  <si>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</si>
  <si>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</si>
  <si>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</si>
  <si>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</si>
  <si>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</si>
  <si>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</si>
  <si>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</si>
  <si>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</si>
  <si>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</si>
  <si>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</si>
  <si>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</si>
  <si>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</si>
  <si>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</si>
  <si>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</si>
  <si>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</si>
  <si>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</si>
  <si>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</si>
  <si>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기준
학점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</si>
  <si>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</si>
  <si>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</si>
  <si>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</si>
  <si>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</si>
  <si>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</si>
  <si>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</si>
  <si>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</si>
  <si>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</si>
  <si>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</si>
  <si>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</si>
  <si>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</si>
  <si>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</si>
  <si>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</si>
  <si>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</si>
  <si>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</si>
  <si>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</si>
  <si>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</si>
  <si>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</si>
  <si>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</si>
  <si>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</si>
  <si>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</si>
  <si>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</si>
  <si>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</si>
  <si>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</si>
  <si>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</si>
  <si>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</si>
  <si>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</si>
  <si>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</si>
  <si>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</si>
  <si>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</si>
  <si>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</si>
  <si>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</si>
  <si>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</si>
  <si>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</si>
  <si>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</si>
  <si>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</si>
  <si>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</si>
  <si>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</si>
  <si>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</si>
  <si>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</si>
  <si>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</si>
  <si>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</si>
  <si>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</si>
  <si>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</si>
  <si>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</si>
  <si>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</si>
  <si>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</si>
  <si>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</si>
  <si>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</si>
  <si>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</si>
  <si>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</si>
  <si>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</si>
  <si>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</si>
  <si>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</si>
  <si>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</si>
  <si>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</si>
  <si>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</si>
  <si>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</si>
  <si>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</si>
  <si>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</si>
  <si>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</si>
  <si>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</si>
  <si>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</si>
  <si>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</si>
  <si>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</si>
  <si>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</si>
  <si>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</si>
  <si>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</si>
  <si>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</si>
  <si>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</si>
  <si>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</si>
  <si>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</si>
  <si>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</si>
  <si>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</si>
  <si>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</si>
  <si>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</si>
  <si>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</si>
  <si>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</si>
  <si>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</si>
  <si>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</si>
  <si>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제2외국어/한문</t>
    <phoneticPr fontId="1" type="noConversion"/>
  </si>
  <si>
    <t>기술∙가정/정보</t>
    <phoneticPr fontId="1" type="noConversion"/>
  </si>
  <si>
    <t xml:space="preserve"> </t>
    <phoneticPr fontId="1" type="noConversion"/>
  </si>
  <si>
    <t>공동</t>
    <phoneticPr fontId="1" type="noConversion"/>
  </si>
  <si>
    <t>학교 밖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</si>
  <si>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</si>
  <si>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</si>
  <si>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</si>
  <si>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</si>
  <si>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</si>
  <si>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</si>
  <si>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</si>
  <si>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전문 수학</t>
  </si>
  <si>
    <t>이산 수학</t>
  </si>
  <si>
    <t>고급 기하</t>
  </si>
  <si>
    <t>고급 대수</t>
  </si>
  <si>
    <t>고급 미적분</t>
  </si>
  <si>
    <t xml:space="preserve">육상 </t>
  </si>
  <si>
    <t xml:space="preserve">체조 </t>
  </si>
  <si>
    <t>수상 스포츠</t>
  </si>
  <si>
    <t>기초 체육 전공 실기</t>
  </si>
  <si>
    <t xml:space="preserve">심화 체육 전공 실기 </t>
  </si>
  <si>
    <t>고급 체육 전공 실기</t>
  </si>
  <si>
    <t>스포츠 경기 체력</t>
  </si>
  <si>
    <t>스포츠 경기 기술</t>
  </si>
  <si>
    <t>스포츠 경기 분석</t>
  </si>
  <si>
    <t>음악 이론</t>
  </si>
  <si>
    <t>음악사</t>
  </si>
  <si>
    <t>시창⋅청음</t>
  </si>
  <si>
    <t>음악 전공 실기</t>
  </si>
  <si>
    <t>음악과 문화</t>
  </si>
  <si>
    <t>미술 매체 탐구</t>
  </si>
  <si>
    <t>미술과 사회</t>
  </si>
  <si>
    <t>무용과 매체</t>
  </si>
  <si>
    <t>무용 감상과 비평</t>
  </si>
  <si>
    <t>문예 창작의 이해</t>
  </si>
  <si>
    <t>문장론</t>
  </si>
  <si>
    <t>문학 감상과 비평</t>
  </si>
  <si>
    <t>시 창작</t>
  </si>
  <si>
    <t>소설 창작</t>
  </si>
  <si>
    <t>극 창작</t>
  </si>
  <si>
    <t>연극과 몸</t>
  </si>
  <si>
    <t>연극과 말</t>
  </si>
  <si>
    <t xml:space="preserve">연기 </t>
  </si>
  <si>
    <t>무대 미술과 기술</t>
  </si>
  <si>
    <t>연극 제작 실습</t>
  </si>
  <si>
    <t>연극 감상과 비평</t>
  </si>
  <si>
    <t>영화의 이해</t>
  </si>
  <si>
    <t>촬영⋅조명</t>
  </si>
  <si>
    <t>편집⋅사운드</t>
  </si>
  <si>
    <t>영화 제작 실습</t>
  </si>
  <si>
    <t>영화 감상과 비평</t>
  </si>
  <si>
    <t>사진의 이해</t>
  </si>
  <si>
    <t>사진 촬영</t>
  </si>
  <si>
    <t>사진 표현 기법</t>
  </si>
  <si>
    <t>영상 제작의 이해</t>
  </si>
  <si>
    <t>사진 감상과 비평</t>
  </si>
  <si>
    <t>기술∙가정</t>
    <phoneticPr fontId="1" type="noConversion"/>
  </si>
  <si>
    <t>전문</t>
    <phoneticPr fontId="1" type="noConversion"/>
  </si>
  <si>
    <t>융합</t>
    <phoneticPr fontId="1" type="noConversion"/>
  </si>
  <si>
    <t>특목고선택과목</t>
    <phoneticPr fontId="1" type="noConversion"/>
  </si>
  <si>
    <t xml:space="preserve">    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</si>
  <si>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</si>
  <si>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</si>
  <si>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</si>
  <si>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</si>
  <si>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</si>
  <si>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</si>
  <si>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</si>
  <si>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</si>
  <si>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공통</t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</si>
  <si>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</si>
  <si>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</si>
  <si>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</si>
  <si>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</si>
  <si>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</si>
  <si>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</si>
  <si>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</si>
  <si>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</si>
  <si>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</si>
  <si>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</si>
  <si>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</si>
  <si>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</si>
  <si>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</si>
  <si>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</si>
  <si>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</si>
  <si>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</si>
  <si>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</si>
  <si>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</si>
  <si>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</si>
  <si>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</si>
  <si>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</si>
  <si>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</si>
  <si>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</si>
  <si>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</si>
  <si>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</si>
  <si>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</si>
  <si>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</si>
  <si>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</si>
  <si>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</si>
  <si>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</si>
  <si>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</si>
  <si>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</si>
  <si>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</si>
  <si>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</si>
  <si>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</si>
  <si>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</si>
  <si>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</si>
  <si>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</si>
  <si>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</si>
  <si>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</si>
  <si>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고급 물리학</t>
  </si>
  <si>
    <t>고급 화학</t>
  </si>
  <si>
    <t>고급 생명과학</t>
    <phoneticPr fontId="1" type="noConversion"/>
  </si>
  <si>
    <t>고급 지구과학</t>
  </si>
  <si>
    <t>과학과제 연구</t>
  </si>
  <si>
    <t>정보과학</t>
  </si>
  <si>
    <t>스포츠 개론</t>
  </si>
  <si>
    <t>음악 공연 실습</t>
  </si>
  <si>
    <r>
      <t>합창</t>
    </r>
    <r>
      <rPr>
        <sz val="11"/>
        <rFont val="돋움"/>
        <family val="3"/>
        <charset val="129"/>
      </rPr>
      <t>∙</t>
    </r>
    <r>
      <rPr>
        <sz val="11"/>
        <rFont val="돋움"/>
        <family val="3"/>
        <charset val="129"/>
      </rPr>
      <t>합주</t>
    </r>
    <phoneticPr fontId="1" type="noConversion"/>
  </si>
  <si>
    <t>미술 이론</t>
  </si>
  <si>
    <t>드로잉</t>
  </si>
  <si>
    <t>미술사</t>
  </si>
  <si>
    <t>미술 전공 실기</t>
  </si>
  <si>
    <t>조형 탐구</t>
  </si>
  <si>
    <t>무용의 이해</t>
  </si>
  <si>
    <t>무용과 몸</t>
  </si>
  <si>
    <t>무용 기초 실기</t>
  </si>
  <si>
    <t>무용 전공 실기</t>
  </si>
  <si>
    <t>안무</t>
  </si>
  <si>
    <t>무용 제작 실습</t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</si>
  <si>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</si>
  <si>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</si>
  <si>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</si>
  <si>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</si>
  <si>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</si>
  <si>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</si>
  <si>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</si>
  <si>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</si>
  <si>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</si>
  <si>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</si>
  <si>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</si>
  <si>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</si>
  <si>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</si>
  <si>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</si>
  <si>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</si>
  <si>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</si>
  <si>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</si>
  <si>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</si>
  <si>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</si>
  <si>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</si>
  <si>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</si>
  <si>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</si>
  <si>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</si>
  <si>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</si>
  <si>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물리학 실험</t>
  </si>
  <si>
    <t>화학 실험</t>
  </si>
  <si>
    <t>생명과학 실험</t>
  </si>
  <si>
    <t>지구과학 실험</t>
  </si>
  <si>
    <t>스포츠 교육</t>
  </si>
  <si>
    <t>스포츠 생리의학</t>
  </si>
  <si>
    <t>스포츠 행정 및 경영</t>
  </si>
  <si>
    <t>문학과 매체</t>
  </si>
  <si>
    <t>연극과 삶</t>
  </si>
  <si>
    <t>영화와 삶</t>
  </si>
  <si>
    <t>사진과 삶</t>
  </si>
  <si>
    <t>한국사1</t>
  </si>
  <si>
    <t>통합과학1</t>
  </si>
  <si>
    <t>통합사회1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</si>
  <si>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</si>
  <si>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</si>
  <si>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</si>
  <si>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한국사2</t>
  </si>
  <si>
    <t>통합사회2</t>
  </si>
  <si>
    <t>통합과학2</t>
  </si>
  <si>
    <t>과학탐구실험1</t>
  </si>
  <si>
    <t>과학탐구실험2</t>
  </si>
  <si>
    <t>일반</t>
  </si>
  <si>
    <t>체육1</t>
  </si>
  <si>
    <t>체육2</t>
  </si>
  <si>
    <t>진로</t>
  </si>
  <si>
    <t>융합</t>
  </si>
  <si>
    <t>스포츠 문화</t>
  </si>
  <si>
    <t>스포츠 과학</t>
  </si>
  <si>
    <t>미술</t>
  </si>
  <si>
    <t xml:space="preserve">화법과 언어 </t>
  </si>
  <si>
    <t xml:space="preserve">독서와 작문 </t>
  </si>
  <si>
    <t>미적분Ⅰ</t>
  </si>
  <si>
    <t>영어Ⅰ</t>
  </si>
  <si>
    <t>영어Ⅱ</t>
  </si>
  <si>
    <t xml:space="preserve">심화 영어 </t>
  </si>
  <si>
    <t>문학과 영상</t>
  </si>
  <si>
    <t>기하</t>
  </si>
  <si>
    <t>영미 문학 읽기</t>
  </si>
  <si>
    <t>물리학</t>
  </si>
  <si>
    <t>화학</t>
  </si>
  <si>
    <t xml:space="preserve">생명과학 </t>
  </si>
  <si>
    <t>지구과학</t>
  </si>
  <si>
    <t>기술∙가정</t>
  </si>
  <si>
    <t xml:space="preserve">일본어 </t>
  </si>
  <si>
    <t>영어</t>
    <phoneticPr fontId="1" type="noConversion"/>
  </si>
  <si>
    <t xml:space="preserve">주제 탐구 독서 </t>
  </si>
  <si>
    <t>수학</t>
    <phoneticPr fontId="1" type="noConversion"/>
  </si>
  <si>
    <t>인공지능 수학</t>
  </si>
  <si>
    <t xml:space="preserve">윤리와 사상 </t>
  </si>
  <si>
    <t>한국지리 탐구</t>
  </si>
  <si>
    <t xml:space="preserve">법과 사회 </t>
  </si>
  <si>
    <t>프로그래밍</t>
    <phoneticPr fontId="1" type="noConversion"/>
  </si>
  <si>
    <t>미적분Ⅱ</t>
  </si>
  <si>
    <t>여행지리</t>
    <phoneticPr fontId="1" type="noConversion"/>
  </si>
  <si>
    <t>과 학</t>
    <phoneticPr fontId="1" type="noConversion"/>
  </si>
  <si>
    <t xml:space="preserve">미술 창작 </t>
    <phoneticPr fontId="1" type="noConversion"/>
  </si>
  <si>
    <t>교 양</t>
    <phoneticPr fontId="1" type="noConversion"/>
  </si>
  <si>
    <t>대수</t>
  </si>
  <si>
    <t>융합</t>
    <phoneticPr fontId="1" type="noConversion"/>
  </si>
  <si>
    <t>미술과 매체</t>
    <phoneticPr fontId="1" type="noConversion"/>
  </si>
  <si>
    <t>15
(택5)</t>
    <phoneticPr fontId="1" type="noConversion"/>
  </si>
  <si>
    <t>정치</t>
    <phoneticPr fontId="1" type="noConversion"/>
  </si>
  <si>
    <t>예술</t>
    <phoneticPr fontId="1" type="noConversion"/>
  </si>
  <si>
    <t>2
(택1)</t>
    <phoneticPr fontId="1" type="noConversion"/>
  </si>
  <si>
    <t xml:space="preserve">12
(택4)
</t>
    <phoneticPr fontId="1" type="noConversion"/>
  </si>
  <si>
    <t>정보와 디지털문해력</t>
    <phoneticPr fontId="1" type="noConversion"/>
  </si>
  <si>
    <t>혜원여자고등학교 교육과정 학점 배당표</t>
    <phoneticPr fontId="1" type="noConversion"/>
  </si>
  <si>
    <t>교육감승인과목</t>
    <phoneticPr fontId="1" type="noConversion"/>
  </si>
  <si>
    <t>진로</t>
    <phoneticPr fontId="1" type="noConversion"/>
  </si>
  <si>
    <t>과목</t>
    <phoneticPr fontId="1" type="noConversion"/>
  </si>
  <si>
    <t>비고</t>
    <phoneticPr fontId="1" type="noConversion"/>
  </si>
  <si>
    <t>과목개설유형</t>
    <phoneticPr fontId="1" type="noConversion"/>
  </si>
  <si>
    <t>영어 발표와 토론</t>
  </si>
  <si>
    <t xml:space="preserve">도시의 미래 탐구 </t>
  </si>
  <si>
    <t>논술</t>
  </si>
  <si>
    <t>교양</t>
    <phoneticPr fontId="1" type="noConversion"/>
  </si>
  <si>
    <t>진로와 직업</t>
    <phoneticPr fontId="1" type="noConversion"/>
  </si>
  <si>
    <t>기술∙가정/정보/
제2외국어/한문/
교양</t>
    <phoneticPr fontId="1" type="noConversion"/>
  </si>
  <si>
    <t>교 양</t>
    <phoneticPr fontId="1" type="noConversion"/>
  </si>
  <si>
    <t>중국어</t>
  </si>
  <si>
    <t xml:space="preserve">중국 문화 </t>
  </si>
  <si>
    <t xml:space="preserve">중국어 회화 </t>
  </si>
  <si>
    <t xml:space="preserve">심화 중국어 </t>
  </si>
  <si>
    <t>관광 일본어</t>
    <phoneticPr fontId="1" type="noConversion"/>
  </si>
  <si>
    <t>※ 유의사항
 [일반과정 및 과학중점과정 공통 유의사항]
- 2,3학년 개설된 모든 교과는 같은 과목을 2번 선택하지 않음.
- 2학년 1학기에서 3학년 1학기 까지의 선택과목 중 국어,영어,수학 과목은 총합 3과목까지만 신청할 것. 
- 국어, 영어 수학 과목은 81학점 이하로 신청 : 필수 71학점 + 선택 3과목 까지만
- 기술·가정/정보/제2외국어/한문/교양 교과의 필수 학점인 16학점을 모두 이수할 수 있도록 교과를 선택해야 함. 
  기술가정/ 정보/제2외국어/한문/교양 교과 (3학점 5과목 이상 선택) + 교양(융합 2학점 1과목 선택) = 17학점
 [과학중점과정 유의사항]
- 과학중점과정은 수학, 과학, 정보 선택 과목 79학점 이상 신청 : 2학년 및 3학년 선택과목에서 수학 3개 필수 신청(국어 및 영어 과목 신청 불가)
 (예시 : 수학 필수 24  + 1학년 과학 10 + 2학년 정보 교과 6 + 2,3학년 수학 3과목 및 과학 10과목 선택 39(13개 과목) = 79학점)
- 과학중점과정은 과학과목에서 일반 및 진로 과목 7과목 이상 이수.</t>
    <phoneticPr fontId="1" type="noConversion"/>
  </si>
  <si>
    <t>전문</t>
  </si>
  <si>
    <t>2027학년도 입학(2022 개정 교육과정 적용)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</si>
</sst>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7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color theme="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4659260841701"/>
        <bgColor indexed="64"/>
      </patternFill>
    </fill>
  </fills>
  <borders count="1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5">
    <xf numFmtId="0" fontId="0" fillId="0" borderId="0" xfId="0"/>
    <xf numFmtId="0" fontId="0" fillId="0" borderId="78" xfId="0" applyBorder="1"/>
    <xf numFmtId="0" fontId="5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49" fontId="2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/>
    </xf>
    <xf numFmtId="49" fontId="8" fillId="4" borderId="2" xfId="0" applyNumberFormat="1" applyFont="1" applyFill="1" applyBorder="1" applyAlignment="1">
      <alignment horizontal="center" vertical="center" wrapText="1"/>
    </xf>
    <xf numFmtId="49" fontId="12" fillId="4" borderId="2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49" fontId="15" fillId="0" borderId="37" xfId="0" applyNumberFormat="1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0" fontId="15" fillId="0" borderId="93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49" fontId="15" fillId="0" borderId="65" xfId="0" applyNumberFormat="1" applyFont="1" applyBorder="1" applyAlignment="1">
      <alignment horizontal="center" vertical="center" wrapText="1"/>
    </xf>
    <xf numFmtId="0" fontId="15" fillId="0" borderId="94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15" fillId="0" borderId="81" xfId="0" applyFont="1" applyBorder="1" applyAlignment="1">
      <alignment horizontal="center" vertical="center" wrapText="1"/>
    </xf>
    <xf numFmtId="0" fontId="15" fillId="0" borderId="82" xfId="0" applyFont="1" applyBorder="1" applyAlignment="1">
      <alignment horizontal="center" vertical="center" wrapText="1"/>
    </xf>
    <xf numFmtId="0" fontId="15" fillId="0" borderId="53" xfId="0" quotePrefix="1" applyFont="1" applyBorder="1" applyAlignment="1">
      <alignment horizontal="center" vertical="center" wrapText="1"/>
    </xf>
    <xf numFmtId="0" fontId="15" fillId="0" borderId="35" xfId="0" quotePrefix="1" applyFont="1" applyBorder="1" applyAlignment="1">
      <alignment horizontal="center" vertical="center" wrapText="1"/>
    </xf>
    <xf numFmtId="0" fontId="15" fillId="0" borderId="26" xfId="0" quotePrefix="1" applyFont="1" applyBorder="1" applyAlignment="1">
      <alignment horizontal="center" vertical="center" wrapText="1"/>
    </xf>
    <xf numFmtId="0" fontId="15" fillId="0" borderId="49" xfId="0" quotePrefix="1" applyFont="1" applyBorder="1" applyAlignment="1">
      <alignment horizontal="center" vertical="center" wrapText="1"/>
    </xf>
    <xf numFmtId="0" fontId="15" fillId="0" borderId="36" xfId="0" quotePrefix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9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/>
    </xf>
    <xf numFmtId="0" fontId="15" fillId="0" borderId="52" xfId="0" quotePrefix="1" applyFont="1" applyBorder="1" applyAlignment="1">
      <alignment horizontal="center" vertical="center" wrapText="1"/>
    </xf>
    <xf numFmtId="0" fontId="15" fillId="2" borderId="103" xfId="0" applyFont="1" applyFill="1" applyBorder="1" applyAlignment="1">
      <alignment horizontal="center" vertical="center" wrapText="1"/>
    </xf>
    <xf numFmtId="0" fontId="15" fillId="2" borderId="53" xfId="0" applyFont="1" applyFill="1" applyBorder="1" applyAlignment="1">
      <alignment horizontal="center" vertical="center" wrapText="1"/>
    </xf>
    <xf numFmtId="0" fontId="15" fillId="2" borderId="35" xfId="0" applyFont="1" applyFill="1" applyBorder="1" applyAlignment="1">
      <alignment horizontal="center" vertical="center" wrapText="1"/>
    </xf>
    <xf numFmtId="0" fontId="15" fillId="0" borderId="48" xfId="0" quotePrefix="1" applyFont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0" fontId="15" fillId="0" borderId="50" xfId="0" quotePrefix="1" applyFont="1" applyBorder="1" applyAlignment="1">
      <alignment horizontal="center" vertical="center" wrapText="1"/>
    </xf>
    <xf numFmtId="0" fontId="14" fillId="2" borderId="77" xfId="0" applyFont="1" applyFill="1" applyBorder="1" applyAlignment="1">
      <alignment horizontal="center" vertical="center" wrapText="1"/>
    </xf>
    <xf numFmtId="0" fontId="14" fillId="2" borderId="51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5" fillId="0" borderId="54" xfId="0" quotePrefix="1" applyFont="1" applyBorder="1" applyAlignment="1">
      <alignment horizontal="center" vertical="center" wrapText="1"/>
    </xf>
    <xf numFmtId="0" fontId="15" fillId="0" borderId="93" xfId="0" applyFont="1" applyBorder="1" applyAlignment="1">
      <alignment horizontal="center" vertical="center" wrapText="1"/>
    </xf>
    <xf numFmtId="0" fontId="15" fillId="0" borderId="27" xfId="0" quotePrefix="1" applyFont="1" applyBorder="1" applyAlignment="1">
      <alignment horizontal="center" vertical="center" wrapText="1"/>
    </xf>
    <xf numFmtId="0" fontId="15" fillId="0" borderId="29" xfId="0" quotePrefix="1" applyFont="1" applyBorder="1" applyAlignment="1">
      <alignment horizontal="center" vertical="center" wrapText="1"/>
    </xf>
    <xf numFmtId="0" fontId="15" fillId="0" borderId="102" xfId="0" quotePrefix="1" applyFont="1" applyBorder="1" applyAlignment="1">
      <alignment horizontal="center" vertical="center" wrapText="1"/>
    </xf>
    <xf numFmtId="0" fontId="15" fillId="0" borderId="103" xfId="0" applyFont="1" applyBorder="1" applyAlignment="1">
      <alignment horizontal="center" vertical="center" wrapText="1"/>
    </xf>
    <xf numFmtId="49" fontId="15" fillId="0" borderId="32" xfId="0" applyNumberFormat="1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 wrapText="1"/>
    </xf>
    <xf numFmtId="0" fontId="15" fillId="2" borderId="55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2" borderId="51" xfId="0" applyFont="1" applyFill="1" applyBorder="1" applyAlignment="1">
      <alignment horizontal="center" vertical="center" wrapText="1"/>
    </xf>
    <xf numFmtId="0" fontId="15" fillId="0" borderId="55" xfId="0" quotePrefix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90" xfId="0" applyFont="1" applyBorder="1" applyAlignment="1">
      <alignment horizontal="center" vertical="center" wrapText="1"/>
    </xf>
    <xf numFmtId="0" fontId="15" fillId="0" borderId="59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56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9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0" fontId="15" fillId="0" borderId="76" xfId="0" applyFont="1" applyBorder="1" applyAlignment="1">
      <alignment horizontal="center" vertical="center"/>
    </xf>
    <xf numFmtId="176" fontId="15" fillId="0" borderId="2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2" borderId="91" xfId="0" applyFont="1" applyFill="1" applyBorder="1" applyAlignment="1">
      <alignment horizontal="center" vertical="center" wrapText="1"/>
    </xf>
    <xf numFmtId="49" fontId="15" fillId="0" borderId="38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49" fontId="15" fillId="0" borderId="35" xfId="0" applyNumberFormat="1" applyFont="1" applyBorder="1" applyAlignment="1">
      <alignment horizontal="center" vertical="center" wrapText="1"/>
    </xf>
    <xf numFmtId="49" fontId="15" fillId="0" borderId="34" xfId="0" applyNumberFormat="1" applyFont="1" applyBorder="1" applyAlignment="1">
      <alignment horizontal="center" vertical="center" wrapText="1"/>
    </xf>
    <xf numFmtId="0" fontId="15" fillId="0" borderId="92" xfId="0" applyFont="1" applyBorder="1" applyAlignment="1">
      <alignment horizontal="center" vertical="center"/>
    </xf>
    <xf numFmtId="0" fontId="15" fillId="0" borderId="30" xfId="0" quotePrefix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176" fontId="15" fillId="0" borderId="34" xfId="0" applyNumberFormat="1" applyFont="1" applyBorder="1" applyAlignment="1">
      <alignment horizontal="center" vertical="center" wrapText="1"/>
    </xf>
    <xf numFmtId="176" fontId="15" fillId="2" borderId="38" xfId="0" applyNumberFormat="1" applyFont="1" applyFill="1" applyBorder="1" applyAlignment="1">
      <alignment horizontal="center" vertical="center" wrapText="1"/>
    </xf>
    <xf numFmtId="176" fontId="15" fillId="2" borderId="36" xfId="0" applyNumberFormat="1" applyFont="1" applyFill="1" applyBorder="1" applyAlignment="1">
      <alignment horizontal="center" vertical="center" wrapText="1"/>
    </xf>
    <xf numFmtId="176" fontId="15" fillId="2" borderId="34" xfId="0" applyNumberFormat="1" applyFont="1" applyFill="1" applyBorder="1" applyAlignment="1">
      <alignment horizontal="center" vertical="center" wrapText="1"/>
    </xf>
    <xf numFmtId="176" fontId="15" fillId="0" borderId="38" xfId="0" quotePrefix="1" applyNumberFormat="1" applyFont="1" applyBorder="1" applyAlignment="1">
      <alignment horizontal="center" vertical="center" wrapText="1"/>
    </xf>
    <xf numFmtId="176" fontId="15" fillId="0" borderId="36" xfId="0" quotePrefix="1" applyNumberFormat="1" applyFont="1" applyBorder="1" applyAlignment="1">
      <alignment horizontal="center" vertical="center" wrapText="1"/>
    </xf>
    <xf numFmtId="176" fontId="15" fillId="0" borderId="36" xfId="0" applyNumberFormat="1" applyFont="1" applyBorder="1" applyAlignment="1">
      <alignment horizontal="center" vertical="center" wrapText="1"/>
    </xf>
    <xf numFmtId="176" fontId="15" fillId="0" borderId="38" xfId="0" applyNumberFormat="1" applyFont="1" applyBorder="1" applyAlignment="1">
      <alignment horizontal="center" vertical="center" wrapText="1"/>
    </xf>
    <xf numFmtId="176" fontId="15" fillId="0" borderId="35" xfId="0" applyNumberFormat="1" applyFont="1" applyBorder="1" applyAlignment="1">
      <alignment horizontal="center" vertical="center" wrapText="1"/>
    </xf>
    <xf numFmtId="176" fontId="15" fillId="0" borderId="54" xfId="0" quotePrefix="1" applyNumberFormat="1" applyFont="1" applyBorder="1" applyAlignment="1">
      <alignment horizontal="center" vertical="center" wrapText="1"/>
    </xf>
    <xf numFmtId="176" fontId="15" fillId="0" borderId="48" xfId="0" quotePrefix="1" applyNumberFormat="1" applyFont="1" applyBorder="1" applyAlignment="1">
      <alignment horizontal="center" vertical="center" wrapText="1"/>
    </xf>
    <xf numFmtId="176" fontId="15" fillId="0" borderId="50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108" xfId="0" applyFont="1" applyBorder="1" applyAlignment="1">
      <alignment horizontal="center" vertical="center"/>
    </xf>
    <xf numFmtId="0" fontId="15" fillId="0" borderId="46" xfId="0" quotePrefix="1" applyFont="1" applyBorder="1" applyAlignment="1">
      <alignment horizontal="center" vertical="center" wrapText="1"/>
    </xf>
    <xf numFmtId="0" fontId="15" fillId="2" borderId="47" xfId="0" applyFont="1" applyFill="1" applyBorder="1" applyAlignment="1">
      <alignment horizontal="center" vertical="center" wrapText="1"/>
    </xf>
    <xf numFmtId="176" fontId="15" fillId="2" borderId="33" xfId="0" applyNumberFormat="1" applyFont="1" applyFill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09" xfId="0" applyFont="1" applyBorder="1" applyAlignment="1">
      <alignment horizontal="center" vertical="center" wrapText="1"/>
    </xf>
    <xf numFmtId="0" fontId="15" fillId="0" borderId="110" xfId="0" applyFont="1" applyBorder="1" applyAlignment="1">
      <alignment horizontal="center" vertical="center" wrapText="1"/>
    </xf>
    <xf numFmtId="176" fontId="15" fillId="0" borderId="80" xfId="0" applyNumberFormat="1" applyFont="1" applyBorder="1" applyAlignment="1">
      <alignment horizontal="center" vertical="center" wrapText="1"/>
    </xf>
    <xf numFmtId="0" fontId="15" fillId="0" borderId="42" xfId="0" quotePrefix="1" applyFont="1" applyBorder="1" applyAlignment="1">
      <alignment horizontal="center" vertical="center" wrapText="1"/>
    </xf>
    <xf numFmtId="176" fontId="15" fillId="0" borderId="14" xfId="0" applyNumberFormat="1" applyFont="1" applyBorder="1" applyAlignment="1">
      <alignment horizontal="center" vertical="center" wrapText="1"/>
    </xf>
    <xf numFmtId="176" fontId="15" fillId="2" borderId="35" xfId="0" applyNumberFormat="1" applyFont="1" applyFill="1" applyBorder="1" applyAlignment="1">
      <alignment horizontal="center" vertical="center" wrapText="1"/>
    </xf>
    <xf numFmtId="176" fontId="15" fillId="2" borderId="30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89" xfId="0" applyFont="1" applyBorder="1" applyAlignment="1">
      <alignment horizontal="center" vertical="center" wrapText="1"/>
    </xf>
    <xf numFmtId="176" fontId="15" fillId="0" borderId="22" xfId="0" applyNumberFormat="1" applyFont="1" applyBorder="1" applyAlignment="1">
      <alignment horizontal="center" vertical="center" wrapText="1"/>
    </xf>
    <xf numFmtId="176" fontId="15" fillId="2" borderId="28" xfId="0" applyNumberFormat="1" applyFont="1" applyFill="1" applyBorder="1" applyAlignment="1">
      <alignment horizontal="center" vertical="center" wrapText="1"/>
    </xf>
    <xf numFmtId="176" fontId="15" fillId="2" borderId="52" xfId="0" applyNumberFormat="1" applyFont="1" applyFill="1" applyBorder="1" applyAlignment="1">
      <alignment horizontal="center" vertical="center" wrapText="1"/>
    </xf>
    <xf numFmtId="176" fontId="15" fillId="0" borderId="50" xfId="0" quotePrefix="1" applyNumberFormat="1" applyFont="1" applyBorder="1" applyAlignment="1">
      <alignment horizontal="center" vertical="center" wrapText="1"/>
    </xf>
    <xf numFmtId="176" fontId="15" fillId="2" borderId="111" xfId="0" applyNumberFormat="1" applyFont="1" applyFill="1" applyBorder="1" applyAlignment="1">
      <alignment horizontal="center" vertical="center" wrapText="1"/>
    </xf>
    <xf numFmtId="0" fontId="15" fillId="0" borderId="112" xfId="0" quotePrefix="1" applyFont="1" applyBorder="1" applyAlignment="1">
      <alignment horizontal="center" vertical="center" wrapText="1"/>
    </xf>
    <xf numFmtId="176" fontId="15" fillId="0" borderId="4" xfId="0" applyNumberFormat="1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90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113" xfId="0" applyFont="1" applyBorder="1" applyAlignment="1">
      <alignment horizontal="center" vertical="center" wrapText="1"/>
    </xf>
    <xf numFmtId="0" fontId="15" fillId="0" borderId="114" xfId="0" applyFont="1" applyBorder="1" applyAlignment="1">
      <alignment horizontal="center" vertical="center" wrapText="1"/>
    </xf>
    <xf numFmtId="0" fontId="15" fillId="0" borderId="115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117" xfId="0" applyFont="1" applyBorder="1" applyAlignment="1">
      <alignment horizontal="center" vertical="center"/>
    </xf>
    <xf numFmtId="0" fontId="15" fillId="0" borderId="51" xfId="0" quotePrefix="1" applyFont="1" applyBorder="1" applyAlignment="1">
      <alignment horizontal="center" vertical="center" wrapText="1"/>
    </xf>
    <xf numFmtId="0" fontId="15" fillId="0" borderId="34" xfId="0" quotePrefix="1" applyFont="1" applyBorder="1" applyAlignment="1">
      <alignment horizontal="center" vertical="center" wrapText="1"/>
    </xf>
    <xf numFmtId="0" fontId="15" fillId="0" borderId="118" xfId="0" applyFont="1" applyBorder="1" applyAlignment="1">
      <alignment horizontal="center" vertical="center" wrapText="1"/>
    </xf>
    <xf numFmtId="0" fontId="15" fillId="0" borderId="119" xfId="0" applyFont="1" applyBorder="1" applyAlignment="1">
      <alignment horizontal="center" vertical="center" wrapText="1"/>
    </xf>
    <xf numFmtId="0" fontId="15" fillId="0" borderId="120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121" xfId="0" applyFont="1" applyBorder="1" applyAlignment="1">
      <alignment horizontal="center" vertical="center" wrapText="1"/>
    </xf>
    <xf numFmtId="0" fontId="15" fillId="0" borderId="122" xfId="0" applyFont="1" applyBorder="1" applyAlignment="1">
      <alignment horizontal="center" vertical="center" wrapText="1"/>
    </xf>
    <xf numFmtId="0" fontId="15" fillId="0" borderId="123" xfId="0" applyFont="1" applyBorder="1" applyAlignment="1">
      <alignment horizontal="center" vertical="center" wrapText="1"/>
    </xf>
    <xf numFmtId="49" fontId="15" fillId="0" borderId="31" xfId="0" applyNumberFormat="1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/>
    </xf>
    <xf numFmtId="176" fontId="15" fillId="0" borderId="29" xfId="0" applyNumberFormat="1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5" fillId="0" borderId="124" xfId="0" applyFont="1" applyBorder="1" applyAlignment="1">
      <alignment horizontal="center" vertical="center" wrapText="1"/>
    </xf>
    <xf numFmtId="176" fontId="15" fillId="0" borderId="96" xfId="0" applyNumberFormat="1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176" fontId="15" fillId="0" borderId="6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176" fontId="15" fillId="0" borderId="4" xfId="0" applyNumberFormat="1" applyFont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5" fillId="0" borderId="102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 wrapText="1"/>
    </xf>
    <xf numFmtId="0" fontId="15" fillId="0" borderId="125" xfId="0" applyFont="1" applyBorder="1" applyAlignment="1">
      <alignment horizontal="center" vertical="center" wrapText="1"/>
    </xf>
    <xf numFmtId="0" fontId="14" fillId="2" borderId="125" xfId="0" applyFont="1" applyFill="1" applyBorder="1" applyAlignment="1">
      <alignment horizontal="center" vertical="center" wrapText="1"/>
    </xf>
    <xf numFmtId="176" fontId="15" fillId="0" borderId="20" xfId="0" applyNumberFormat="1" applyFont="1" applyBorder="1" applyAlignment="1">
      <alignment horizontal="center" vertical="center" wrapText="1"/>
    </xf>
    <xf numFmtId="176" fontId="15" fillId="0" borderId="8" xfId="0" applyNumberFormat="1" applyFont="1" applyBorder="1" applyAlignment="1">
      <alignment horizontal="center" vertical="center" wrapText="1"/>
    </xf>
    <xf numFmtId="176" fontId="15" fillId="0" borderId="10" xfId="0" applyNumberFormat="1" applyFont="1" applyBorder="1" applyAlignment="1">
      <alignment horizontal="center" vertical="center" wrapText="1"/>
    </xf>
    <xf numFmtId="176" fontId="15" fillId="2" borderId="47" xfId="0" applyNumberFormat="1" applyFont="1" applyFill="1" applyBorder="1" applyAlignment="1">
      <alignment horizontal="center" vertical="center" wrapText="1"/>
    </xf>
    <xf numFmtId="176" fontId="15" fillId="2" borderId="55" xfId="0" applyNumberFormat="1" applyFont="1" applyFill="1" applyBorder="1" applyAlignment="1">
      <alignment horizontal="center" vertical="center" wrapText="1"/>
    </xf>
    <xf numFmtId="176" fontId="15" fillId="2" borderId="49" xfId="0" applyNumberFormat="1" applyFont="1" applyFill="1" applyBorder="1" applyAlignment="1">
      <alignment horizontal="center" vertical="center" wrapText="1"/>
    </xf>
    <xf numFmtId="176" fontId="15" fillId="2" borderId="51" xfId="0" applyNumberFormat="1" applyFont="1" applyFill="1" applyBorder="1" applyAlignment="1">
      <alignment horizontal="center" vertical="center" wrapText="1"/>
    </xf>
    <xf numFmtId="176" fontId="15" fillId="0" borderId="55" xfId="0" quotePrefix="1" applyNumberFormat="1" applyFont="1" applyBorder="1" applyAlignment="1">
      <alignment horizontal="center" vertical="center" wrapText="1"/>
    </xf>
    <xf numFmtId="176" fontId="15" fillId="0" borderId="49" xfId="0" quotePrefix="1" applyNumberFormat="1" applyFont="1" applyBorder="1" applyAlignment="1">
      <alignment horizontal="center" vertical="center" wrapText="1"/>
    </xf>
    <xf numFmtId="176" fontId="15" fillId="0" borderId="51" xfId="0" applyNumberFormat="1" applyFont="1" applyBorder="1" applyAlignment="1">
      <alignment horizontal="center" vertical="center" wrapText="1"/>
    </xf>
    <xf numFmtId="176" fontId="15" fillId="2" borderId="53" xfId="0" applyNumberFormat="1" applyFont="1" applyFill="1" applyBorder="1" applyAlignment="1">
      <alignment horizontal="center" vertical="center" wrapText="1"/>
    </xf>
    <xf numFmtId="176" fontId="15" fillId="0" borderId="51" xfId="0" quotePrefix="1" applyNumberFormat="1" applyFont="1" applyBorder="1" applyAlignment="1">
      <alignment horizontal="center" vertical="center" wrapText="1"/>
    </xf>
    <xf numFmtId="0" fontId="15" fillId="0" borderId="71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176" fontId="15" fillId="0" borderId="22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176" fontId="15" fillId="2" borderId="48" xfId="0" applyNumberFormat="1" applyFont="1" applyFill="1" applyBorder="1" applyAlignment="1">
      <alignment horizontal="center" vertical="center" wrapText="1"/>
    </xf>
    <xf numFmtId="176" fontId="15" fillId="3" borderId="17" xfId="0" applyNumberFormat="1" applyFont="1" applyFill="1" applyBorder="1" applyAlignment="1">
      <alignment horizontal="center" vertical="center" wrapText="1"/>
    </xf>
    <xf numFmtId="176" fontId="15" fillId="3" borderId="10" xfId="0" applyNumberFormat="1" applyFont="1" applyFill="1" applyBorder="1" applyAlignment="1">
      <alignment horizontal="center" vertical="center" wrapText="1"/>
    </xf>
    <xf numFmtId="0" fontId="15" fillId="0" borderId="69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05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79" xfId="0" applyFont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79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5" fillId="0" borderId="62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104" xfId="0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104" xfId="0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3" borderId="20" xfId="0" applyNumberFormat="1" applyFont="1" applyFill="1" applyBorder="1" applyAlignment="1">
      <alignment horizontal="center" vertical="center" wrapText="1"/>
    </xf>
    <xf numFmtId="176" fontId="15" fillId="3" borderId="22" xfId="0" applyNumberFormat="1" applyFont="1" applyFill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7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87" xfId="0" applyFont="1" applyBorder="1" applyAlignment="1">
      <alignment horizontal="center" vertical="center" wrapText="1"/>
    </xf>
    <xf numFmtId="0" fontId="15" fillId="0" borderId="106" xfId="0" applyFont="1" applyBorder="1" applyAlignment="1">
      <alignment horizontal="center" vertical="center" wrapText="1"/>
    </xf>
    <xf numFmtId="0" fontId="15" fillId="0" borderId="89" xfId="0" applyFont="1" applyBorder="1" applyAlignment="1">
      <alignment horizontal="center" vertical="center" wrapText="1"/>
    </xf>
    <xf numFmtId="0" fontId="15" fillId="0" borderId="88" xfId="0" applyFont="1" applyBorder="1" applyAlignment="1">
      <alignment horizontal="center" vertical="center" wrapText="1"/>
    </xf>
    <xf numFmtId="176" fontId="15" fillId="3" borderId="59" xfId="0" applyNumberFormat="1" applyFont="1" applyFill="1" applyBorder="1" applyAlignment="1">
      <alignment horizontal="center" vertical="center" wrapText="1"/>
    </xf>
    <xf numFmtId="176" fontId="15" fillId="3" borderId="57" xfId="0" applyNumberFormat="1" applyFont="1" applyFill="1" applyBorder="1" applyAlignment="1">
      <alignment horizontal="center" vertical="center" wrapText="1"/>
    </xf>
    <xf numFmtId="176" fontId="15" fillId="3" borderId="81" xfId="0" applyNumberFormat="1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15" fillId="3" borderId="57" xfId="0" applyFont="1" applyFill="1" applyBorder="1" applyAlignment="1">
      <alignment horizontal="center" vertical="center" wrapText="1"/>
    </xf>
    <xf numFmtId="0" fontId="15" fillId="3" borderId="71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 wrapText="1"/>
    </xf>
    <xf numFmtId="0" fontId="15" fillId="0" borderId="107" xfId="0" applyFont="1" applyBorder="1" applyAlignment="1">
      <alignment horizontal="center" vertical="center" wrapText="1"/>
    </xf>
    <xf numFmtId="176" fontId="15" fillId="3" borderId="126" xfId="0" applyNumberFormat="1" applyFont="1" applyFill="1" applyBorder="1" applyAlignment="1">
      <alignment horizontal="center" vertical="center" wrapText="1"/>
    </xf>
    <xf numFmtId="176" fontId="15" fillId="3" borderId="71" xfId="0" applyNumberFormat="1" applyFont="1" applyFill="1" applyBorder="1" applyAlignment="1">
      <alignment horizontal="center" vertical="center" wrapText="1"/>
    </xf>
    <xf numFmtId="0" fontId="15" fillId="0" borderId="86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5" fillId="0" borderId="90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83" xfId="0" applyFont="1" applyFill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 wrapText="1"/>
    </xf>
    <xf numFmtId="0" fontId="3" fillId="3" borderId="85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4" fillId="3" borderId="4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4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14" fillId="3" borderId="43" xfId="0" applyFont="1" applyFill="1" applyBorder="1" applyAlignment="1">
      <alignment horizontal="center" vertical="center" wrapText="1"/>
    </xf>
    <xf numFmtId="0" fontId="14" fillId="3" borderId="45" xfId="0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left" vertical="top" wrapText="1"/>
    </xf>
    <xf numFmtId="0" fontId="14" fillId="3" borderId="97" xfId="0" applyFont="1" applyFill="1" applyBorder="1" applyAlignment="1">
      <alignment horizontal="left" vertical="top" wrapText="1"/>
    </xf>
    <xf numFmtId="0" fontId="14" fillId="3" borderId="98" xfId="0" applyFont="1" applyFill="1" applyBorder="1" applyAlignment="1">
      <alignment horizontal="left" vertical="top" wrapText="1"/>
    </xf>
    <xf numFmtId="0" fontId="14" fillId="3" borderId="78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 wrapText="1"/>
    </xf>
    <xf numFmtId="0" fontId="14" fillId="3" borderId="99" xfId="0" applyFont="1" applyFill="1" applyBorder="1" applyAlignment="1">
      <alignment horizontal="left" vertical="top" wrapText="1"/>
    </xf>
    <xf numFmtId="0" fontId="14" fillId="3" borderId="72" xfId="0" applyFont="1" applyFill="1" applyBorder="1" applyAlignment="1">
      <alignment horizontal="left" vertical="top" wrapText="1"/>
    </xf>
    <xf numFmtId="0" fontId="14" fillId="3" borderId="12" xfId="0" applyFont="1" applyFill="1" applyBorder="1" applyAlignment="1">
      <alignment horizontal="left" vertical="top" wrapText="1"/>
    </xf>
    <xf numFmtId="0" fontId="14" fillId="3" borderId="40" xfId="0" applyFont="1" applyFill="1" applyBorder="1" applyAlignment="1">
      <alignment horizontal="left" vertical="top" wrapText="1"/>
    </xf>
    <xf numFmtId="0" fontId="15" fillId="0" borderId="74" xfId="0" applyFont="1" applyBorder="1" applyAlignment="1">
      <alignment horizontal="center" vertical="center" wrapText="1"/>
    </xf>
    <xf numFmtId="0" fontId="15" fillId="0" borderId="100" xfId="0" applyFont="1" applyBorder="1" applyAlignment="1">
      <alignment horizontal="center" vertical="center" wrapText="1"/>
    </xf>
    <xf numFmtId="0" fontId="15" fillId="0" borderId="101" xfId="0" applyFont="1" applyBorder="1" applyAlignment="1">
      <alignment horizontal="center" vertical="center" wrapText="1"/>
    </xf>
    <xf numFmtId="0" fontId="15" fillId="0" borderId="80" xfId="0" applyFont="1" applyBorder="1" applyAlignment="1">
      <alignment horizontal="center" vertical="center" wrapText="1"/>
    </xf>
    <xf numFmtId="0" fontId="15" fillId="0" borderId="75" xfId="0" applyFont="1" applyBorder="1" applyAlignment="1">
      <alignment horizontal="center" vertical="center" wrapText="1"/>
    </xf>
    <xf numFmtId="0" fontId="15" fillId="0" borderId="76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176" fontId="15" fillId="3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맑은 고딕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돋움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numFmt numFmtId="30" formatCode="@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5424</xdr:colOff>
      <xdr:row>99</xdr:row>
      <xdr:rowOff>73744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95783986-7504-A517-9BFB-801A0C32575F}"/>
            </a:ext>
          </a:extLst>
        </xdr:cNvPr>
        <xdr:cNvGrpSpPr/>
      </xdr:nvGrpSpPr>
      <xdr:grpSpPr>
        <a:xfrm>
          <a:off x="0" y="0"/>
          <a:ext cx="9911424" cy="16575807"/>
          <a:chOff x="0" y="0"/>
          <a:chExt cx="8673174" cy="18933244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5E0E1110-85D3-B961-9640-DB0AE98856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8673174" cy="452599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41AF23E4-3D5A-661F-20A3-E664ED736B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3500" y="4593167"/>
            <a:ext cx="8567328" cy="2792231"/>
          </a:xfrm>
          <a:prstGeom prst="rect">
            <a:avLst/>
          </a:prstGeom>
        </xdr:spPr>
      </xdr:pic>
      <xdr:pic>
        <xdr:nvPicPr>
          <xdr:cNvPr id="14" name="그림 13">
            <a:extLst>
              <a:ext uri="{FF2B5EF4-FFF2-40B4-BE49-F238E27FC236}">
                <a16:creationId xmlns:a16="http://schemas.microsoft.com/office/drawing/2014/main" id="{78FDA919-895F-1E33-1750-4F8DDE652E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0" y="7492999"/>
            <a:ext cx="8567328" cy="5403463"/>
          </a:xfrm>
          <a:prstGeom prst="rect">
            <a:avLst/>
          </a:prstGeom>
        </xdr:spPr>
      </xdr:pic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A69117B3-3589-C5F3-8E56-C9D8CCF4E6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0" y="13144500"/>
            <a:ext cx="8445500" cy="5788744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표6_27" displayName="표6_27" ref="A1:A5" totalsRowShown="0" headerRowDxfId="19" dataDxfId="18" tableBorderDxfId="17">
  <autoFilter ref="A1:A5" xr:uid="{00000000-0009-0000-0100-000006000000}"/>
  <tableColumns count="1">
    <tableColumn id="1" xr3:uid="{00000000-0010-0000-0000-000001000000}" name="과목유형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표7_38" displayName="표7_38" ref="B1:B19" totalsRowShown="0" headerRowDxfId="15" dataDxfId="14" tableBorderDxfId="13">
  <autoFilter ref="B1:B19" xr:uid="{00000000-0009-0000-0100-000007000000}"/>
  <tableColumns count="1">
    <tableColumn id="1" xr3:uid="{00000000-0010-0000-0100-000001000000}" name="공통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표8_49" displayName="표8_49" ref="C1:C36" totalsRowShown="0" headerRowDxfId="11" dataDxfId="10" tableBorderDxfId="9">
  <autoFilter ref="C1:C36" xr:uid="{00000000-0009-0000-0100-000008000000}"/>
  <tableColumns count="1">
    <tableColumn id="1" xr3:uid="{00000000-0010-0000-0200-000001000000}" name="일반" dataDxf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표9_510" displayName="표9_510" ref="D1:D126" totalsRowShown="0" headerRowDxfId="7" dataDxfId="6" tableBorderDxfId="5">
  <autoFilter ref="D1:D126" xr:uid="{00000000-0009-0000-0100-000009000000}"/>
  <tableColumns count="1">
    <tableColumn id="1" xr3:uid="{00000000-0010-0000-0300-000001000000}" name="진로" dataDxfId="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표10_611" displayName="표10_611" ref="E1:E54" totalsRowShown="0" headerRowDxfId="3" dataDxfId="2" tableBorderDxfId="1">
  <autoFilter ref="E1:E54" xr:uid="{00000000-0009-0000-0100-00000A000000}"/>
  <tableColumns count="1">
    <tableColumn id="1" xr3:uid="{00000000-0010-0000-0400-000001000000}" name="융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5"/>
  <sheetViews>
    <sheetView tabSelected="1" zoomScaleNormal="100" zoomScaleSheetLayoutView="100" workbookViewId="0">
      <selection activeCell="D28" sqref="D28"/>
    </sheetView>
  </sheetViews>
  <sheetFormatPr defaultRowHeight="13.5"/>
  <cols>
    <col min="1" max="1" width="4.44140625" style="5" customWidth="1"/>
    <col min="2" max="2" width="14.33203125" style="4" customWidth="1"/>
    <col min="3" max="3" width="10.109375" style="4" customWidth="1"/>
    <col min="4" max="4" width="22" style="4" customWidth="1"/>
    <col min="5" max="12" width="5.77734375" style="4" customWidth="1"/>
    <col min="13" max="14" width="13.77734375" style="4" customWidth="1"/>
    <col min="15" max="16" width="5.77734375" style="4" customWidth="1"/>
    <col min="17" max="17" width="6" customWidth="1"/>
    <col min="245" max="245" width="3.5546875" customWidth="1"/>
    <col min="246" max="248" width="5.77734375" customWidth="1"/>
    <col min="249" max="249" width="11.109375" customWidth="1"/>
    <col min="250" max="257" width="5.77734375" customWidth="1"/>
    <col min="258" max="258" width="7.109375" customWidth="1"/>
    <col min="259" max="260" width="5.77734375" customWidth="1"/>
    <col min="261" max="261" width="6" customWidth="1"/>
    <col min="501" max="501" width="3.5546875" customWidth="1"/>
    <col min="502" max="504" width="5.77734375" customWidth="1"/>
    <col min="505" max="505" width="11.109375" customWidth="1"/>
    <col min="506" max="513" width="5.77734375" customWidth="1"/>
    <col min="514" max="514" width="7.109375" customWidth="1"/>
    <col min="515" max="516" width="5.77734375" customWidth="1"/>
    <col min="517" max="517" width="6" customWidth="1"/>
    <col min="757" max="757" width="3.5546875" customWidth="1"/>
    <col min="758" max="760" width="5.77734375" customWidth="1"/>
    <col min="761" max="761" width="11.109375" customWidth="1"/>
    <col min="762" max="769" width="5.77734375" customWidth="1"/>
    <col min="770" max="770" width="7.109375" customWidth="1"/>
    <col min="771" max="772" width="5.77734375" customWidth="1"/>
    <col min="773" max="773" width="6" customWidth="1"/>
    <col min="1013" max="1013" width="3.5546875" customWidth="1"/>
    <col min="1014" max="1016" width="5.77734375" customWidth="1"/>
    <col min="1017" max="1017" width="11.109375" customWidth="1"/>
    <col min="1018" max="1025" width="5.77734375" customWidth="1"/>
    <col min="1026" max="1026" width="7.109375" customWidth="1"/>
    <col min="1027" max="1028" width="5.77734375" customWidth="1"/>
    <col min="1029" max="1029" width="6" customWidth="1"/>
    <col min="1269" max="1269" width="3.5546875" customWidth="1"/>
    <col min="1270" max="1272" width="5.77734375" customWidth="1"/>
    <col min="1273" max="1273" width="11.109375" customWidth="1"/>
    <col min="1274" max="1281" width="5.77734375" customWidth="1"/>
    <col min="1282" max="1282" width="7.109375" customWidth="1"/>
    <col min="1283" max="1284" width="5.77734375" customWidth="1"/>
    <col min="1285" max="1285" width="6" customWidth="1"/>
    <col min="1525" max="1525" width="3.5546875" customWidth="1"/>
    <col min="1526" max="1528" width="5.77734375" customWidth="1"/>
    <col min="1529" max="1529" width="11.109375" customWidth="1"/>
    <col min="1530" max="1537" width="5.77734375" customWidth="1"/>
    <col min="1538" max="1538" width="7.109375" customWidth="1"/>
    <col min="1539" max="1540" width="5.77734375" customWidth="1"/>
    <col min="1541" max="1541" width="6" customWidth="1"/>
    <col min="1781" max="1781" width="3.5546875" customWidth="1"/>
    <col min="1782" max="1784" width="5.77734375" customWidth="1"/>
    <col min="1785" max="1785" width="11.109375" customWidth="1"/>
    <col min="1786" max="1793" width="5.77734375" customWidth="1"/>
    <col min="1794" max="1794" width="7.109375" customWidth="1"/>
    <col min="1795" max="1796" width="5.77734375" customWidth="1"/>
    <col min="1797" max="1797" width="6" customWidth="1"/>
    <col min="2037" max="2037" width="3.5546875" customWidth="1"/>
    <col min="2038" max="2040" width="5.77734375" customWidth="1"/>
    <col min="2041" max="2041" width="11.109375" customWidth="1"/>
    <col min="2042" max="2049" width="5.77734375" customWidth="1"/>
    <col min="2050" max="2050" width="7.109375" customWidth="1"/>
    <col min="2051" max="2052" width="5.77734375" customWidth="1"/>
    <col min="2053" max="2053" width="6" customWidth="1"/>
    <col min="2293" max="2293" width="3.5546875" customWidth="1"/>
    <col min="2294" max="2296" width="5.77734375" customWidth="1"/>
    <col min="2297" max="2297" width="11.109375" customWidth="1"/>
    <col min="2298" max="2305" width="5.77734375" customWidth="1"/>
    <col min="2306" max="2306" width="7.109375" customWidth="1"/>
    <col min="2307" max="2308" width="5.77734375" customWidth="1"/>
    <col min="2309" max="2309" width="6" customWidth="1"/>
    <col min="2549" max="2549" width="3.5546875" customWidth="1"/>
    <col min="2550" max="2552" width="5.77734375" customWidth="1"/>
    <col min="2553" max="2553" width="11.109375" customWidth="1"/>
    <col min="2554" max="2561" width="5.77734375" customWidth="1"/>
    <col min="2562" max="2562" width="7.109375" customWidth="1"/>
    <col min="2563" max="2564" width="5.77734375" customWidth="1"/>
    <col min="2565" max="2565" width="6" customWidth="1"/>
    <col min="2805" max="2805" width="3.5546875" customWidth="1"/>
    <col min="2806" max="2808" width="5.77734375" customWidth="1"/>
    <col min="2809" max="2809" width="11.109375" customWidth="1"/>
    <col min="2810" max="2817" width="5.77734375" customWidth="1"/>
    <col min="2818" max="2818" width="7.109375" customWidth="1"/>
    <col min="2819" max="2820" width="5.77734375" customWidth="1"/>
    <col min="2821" max="2821" width="6" customWidth="1"/>
    <col min="3061" max="3061" width="3.5546875" customWidth="1"/>
    <col min="3062" max="3064" width="5.77734375" customWidth="1"/>
    <col min="3065" max="3065" width="11.109375" customWidth="1"/>
    <col min="3066" max="3073" width="5.77734375" customWidth="1"/>
    <col min="3074" max="3074" width="7.109375" customWidth="1"/>
    <col min="3075" max="3076" width="5.77734375" customWidth="1"/>
    <col min="3077" max="3077" width="6" customWidth="1"/>
    <col min="3317" max="3317" width="3.5546875" customWidth="1"/>
    <col min="3318" max="3320" width="5.77734375" customWidth="1"/>
    <col min="3321" max="3321" width="11.109375" customWidth="1"/>
    <col min="3322" max="3329" width="5.77734375" customWidth="1"/>
    <col min="3330" max="3330" width="7.109375" customWidth="1"/>
    <col min="3331" max="3332" width="5.77734375" customWidth="1"/>
    <col min="3333" max="3333" width="6" customWidth="1"/>
    <col min="3573" max="3573" width="3.5546875" customWidth="1"/>
    <col min="3574" max="3576" width="5.77734375" customWidth="1"/>
    <col min="3577" max="3577" width="11.109375" customWidth="1"/>
    <col min="3578" max="3585" width="5.77734375" customWidth="1"/>
    <col min="3586" max="3586" width="7.109375" customWidth="1"/>
    <col min="3587" max="3588" width="5.77734375" customWidth="1"/>
    <col min="3589" max="3589" width="6" customWidth="1"/>
    <col min="3829" max="3829" width="3.5546875" customWidth="1"/>
    <col min="3830" max="3832" width="5.77734375" customWidth="1"/>
    <col min="3833" max="3833" width="11.109375" customWidth="1"/>
    <col min="3834" max="3841" width="5.77734375" customWidth="1"/>
    <col min="3842" max="3842" width="7.109375" customWidth="1"/>
    <col min="3843" max="3844" width="5.77734375" customWidth="1"/>
    <col min="3845" max="3845" width="6" customWidth="1"/>
    <col min="4085" max="4085" width="3.5546875" customWidth="1"/>
    <col min="4086" max="4088" width="5.77734375" customWidth="1"/>
    <col min="4089" max="4089" width="11.109375" customWidth="1"/>
    <col min="4090" max="4097" width="5.77734375" customWidth="1"/>
    <col min="4098" max="4098" width="7.109375" customWidth="1"/>
    <col min="4099" max="4100" width="5.77734375" customWidth="1"/>
    <col min="4101" max="4101" width="6" customWidth="1"/>
    <col min="4341" max="4341" width="3.5546875" customWidth="1"/>
    <col min="4342" max="4344" width="5.77734375" customWidth="1"/>
    <col min="4345" max="4345" width="11.109375" customWidth="1"/>
    <col min="4346" max="4353" width="5.77734375" customWidth="1"/>
    <col min="4354" max="4354" width="7.109375" customWidth="1"/>
    <col min="4355" max="4356" width="5.77734375" customWidth="1"/>
    <col min="4357" max="4357" width="6" customWidth="1"/>
    <col min="4597" max="4597" width="3.5546875" customWidth="1"/>
    <col min="4598" max="4600" width="5.77734375" customWidth="1"/>
    <col min="4601" max="4601" width="11.109375" customWidth="1"/>
    <col min="4602" max="4609" width="5.77734375" customWidth="1"/>
    <col min="4610" max="4610" width="7.109375" customWidth="1"/>
    <col min="4611" max="4612" width="5.77734375" customWidth="1"/>
    <col min="4613" max="4613" width="6" customWidth="1"/>
    <col min="4853" max="4853" width="3.5546875" customWidth="1"/>
    <col min="4854" max="4856" width="5.77734375" customWidth="1"/>
    <col min="4857" max="4857" width="11.109375" customWidth="1"/>
    <col min="4858" max="4865" width="5.77734375" customWidth="1"/>
    <col min="4866" max="4866" width="7.109375" customWidth="1"/>
    <col min="4867" max="4868" width="5.77734375" customWidth="1"/>
    <col min="4869" max="4869" width="6" customWidth="1"/>
    <col min="5109" max="5109" width="3.5546875" customWidth="1"/>
    <col min="5110" max="5112" width="5.77734375" customWidth="1"/>
    <col min="5113" max="5113" width="11.109375" customWidth="1"/>
    <col min="5114" max="5121" width="5.77734375" customWidth="1"/>
    <col min="5122" max="5122" width="7.109375" customWidth="1"/>
    <col min="5123" max="5124" width="5.77734375" customWidth="1"/>
    <col min="5125" max="5125" width="6" customWidth="1"/>
    <col min="5365" max="5365" width="3.5546875" customWidth="1"/>
    <col min="5366" max="5368" width="5.77734375" customWidth="1"/>
    <col min="5369" max="5369" width="11.109375" customWidth="1"/>
    <col min="5370" max="5377" width="5.77734375" customWidth="1"/>
    <col min="5378" max="5378" width="7.109375" customWidth="1"/>
    <col min="5379" max="5380" width="5.77734375" customWidth="1"/>
    <col min="5381" max="5381" width="6" customWidth="1"/>
    <col min="5621" max="5621" width="3.5546875" customWidth="1"/>
    <col min="5622" max="5624" width="5.77734375" customWidth="1"/>
    <col min="5625" max="5625" width="11.109375" customWidth="1"/>
    <col min="5626" max="5633" width="5.77734375" customWidth="1"/>
    <col min="5634" max="5634" width="7.109375" customWidth="1"/>
    <col min="5635" max="5636" width="5.77734375" customWidth="1"/>
    <col min="5637" max="5637" width="6" customWidth="1"/>
    <col min="5877" max="5877" width="3.5546875" customWidth="1"/>
    <col min="5878" max="5880" width="5.77734375" customWidth="1"/>
    <col min="5881" max="5881" width="11.109375" customWidth="1"/>
    <col min="5882" max="5889" width="5.77734375" customWidth="1"/>
    <col min="5890" max="5890" width="7.109375" customWidth="1"/>
    <col min="5891" max="5892" width="5.77734375" customWidth="1"/>
    <col min="5893" max="5893" width="6" customWidth="1"/>
    <col min="6133" max="6133" width="3.5546875" customWidth="1"/>
    <col min="6134" max="6136" width="5.77734375" customWidth="1"/>
    <col min="6137" max="6137" width="11.109375" customWidth="1"/>
    <col min="6138" max="6145" width="5.77734375" customWidth="1"/>
    <col min="6146" max="6146" width="7.109375" customWidth="1"/>
    <col min="6147" max="6148" width="5.77734375" customWidth="1"/>
    <col min="6149" max="6149" width="6" customWidth="1"/>
    <col min="6389" max="6389" width="3.5546875" customWidth="1"/>
    <col min="6390" max="6392" width="5.77734375" customWidth="1"/>
    <col min="6393" max="6393" width="11.109375" customWidth="1"/>
    <col min="6394" max="6401" width="5.77734375" customWidth="1"/>
    <col min="6402" max="6402" width="7.109375" customWidth="1"/>
    <col min="6403" max="6404" width="5.77734375" customWidth="1"/>
    <col min="6405" max="6405" width="6" customWidth="1"/>
    <col min="6645" max="6645" width="3.5546875" customWidth="1"/>
    <col min="6646" max="6648" width="5.77734375" customWidth="1"/>
    <col min="6649" max="6649" width="11.109375" customWidth="1"/>
    <col min="6650" max="6657" width="5.77734375" customWidth="1"/>
    <col min="6658" max="6658" width="7.109375" customWidth="1"/>
    <col min="6659" max="6660" width="5.77734375" customWidth="1"/>
    <col min="6661" max="6661" width="6" customWidth="1"/>
    <col min="6901" max="6901" width="3.5546875" customWidth="1"/>
    <col min="6902" max="6904" width="5.77734375" customWidth="1"/>
    <col min="6905" max="6905" width="11.109375" customWidth="1"/>
    <col min="6906" max="6913" width="5.77734375" customWidth="1"/>
    <col min="6914" max="6914" width="7.109375" customWidth="1"/>
    <col min="6915" max="6916" width="5.77734375" customWidth="1"/>
    <col min="6917" max="6917" width="6" customWidth="1"/>
    <col min="7157" max="7157" width="3.5546875" customWidth="1"/>
    <col min="7158" max="7160" width="5.77734375" customWidth="1"/>
    <col min="7161" max="7161" width="11.109375" customWidth="1"/>
    <col min="7162" max="7169" width="5.77734375" customWidth="1"/>
    <col min="7170" max="7170" width="7.109375" customWidth="1"/>
    <col min="7171" max="7172" width="5.77734375" customWidth="1"/>
    <col min="7173" max="7173" width="6" customWidth="1"/>
    <col min="7413" max="7413" width="3.5546875" customWidth="1"/>
    <col min="7414" max="7416" width="5.77734375" customWidth="1"/>
    <col min="7417" max="7417" width="11.109375" customWidth="1"/>
    <col min="7418" max="7425" width="5.77734375" customWidth="1"/>
    <col min="7426" max="7426" width="7.109375" customWidth="1"/>
    <col min="7427" max="7428" width="5.77734375" customWidth="1"/>
    <col min="7429" max="7429" width="6" customWidth="1"/>
    <col min="7669" max="7669" width="3.5546875" customWidth="1"/>
    <col min="7670" max="7672" width="5.77734375" customWidth="1"/>
    <col min="7673" max="7673" width="11.109375" customWidth="1"/>
    <col min="7674" max="7681" width="5.77734375" customWidth="1"/>
    <col min="7682" max="7682" width="7.109375" customWidth="1"/>
    <col min="7683" max="7684" width="5.77734375" customWidth="1"/>
    <col min="7685" max="7685" width="6" customWidth="1"/>
    <col min="7925" max="7925" width="3.5546875" customWidth="1"/>
    <col min="7926" max="7928" width="5.77734375" customWidth="1"/>
    <col min="7929" max="7929" width="11.109375" customWidth="1"/>
    <col min="7930" max="7937" width="5.77734375" customWidth="1"/>
    <col min="7938" max="7938" width="7.109375" customWidth="1"/>
    <col min="7939" max="7940" width="5.77734375" customWidth="1"/>
    <col min="7941" max="7941" width="6" customWidth="1"/>
    <col min="8181" max="8181" width="3.5546875" customWidth="1"/>
    <col min="8182" max="8184" width="5.77734375" customWidth="1"/>
    <col min="8185" max="8185" width="11.109375" customWidth="1"/>
    <col min="8186" max="8193" width="5.77734375" customWidth="1"/>
    <col min="8194" max="8194" width="7.109375" customWidth="1"/>
    <col min="8195" max="8196" width="5.77734375" customWidth="1"/>
    <col min="8197" max="8197" width="6" customWidth="1"/>
    <col min="8437" max="8437" width="3.5546875" customWidth="1"/>
    <col min="8438" max="8440" width="5.77734375" customWidth="1"/>
    <col min="8441" max="8441" width="11.109375" customWidth="1"/>
    <col min="8442" max="8449" width="5.77734375" customWidth="1"/>
    <col min="8450" max="8450" width="7.109375" customWidth="1"/>
    <col min="8451" max="8452" width="5.77734375" customWidth="1"/>
    <col min="8453" max="8453" width="6" customWidth="1"/>
    <col min="8693" max="8693" width="3.5546875" customWidth="1"/>
    <col min="8694" max="8696" width="5.77734375" customWidth="1"/>
    <col min="8697" max="8697" width="11.109375" customWidth="1"/>
    <col min="8698" max="8705" width="5.77734375" customWidth="1"/>
    <col min="8706" max="8706" width="7.109375" customWidth="1"/>
    <col min="8707" max="8708" width="5.77734375" customWidth="1"/>
    <col min="8709" max="8709" width="6" customWidth="1"/>
    <col min="8949" max="8949" width="3.5546875" customWidth="1"/>
    <col min="8950" max="8952" width="5.77734375" customWidth="1"/>
    <col min="8953" max="8953" width="11.109375" customWidth="1"/>
    <col min="8954" max="8961" width="5.77734375" customWidth="1"/>
    <col min="8962" max="8962" width="7.109375" customWidth="1"/>
    <col min="8963" max="8964" width="5.77734375" customWidth="1"/>
    <col min="8965" max="8965" width="6" customWidth="1"/>
    <col min="9205" max="9205" width="3.5546875" customWidth="1"/>
    <col min="9206" max="9208" width="5.77734375" customWidth="1"/>
    <col min="9209" max="9209" width="11.109375" customWidth="1"/>
    <col min="9210" max="9217" width="5.77734375" customWidth="1"/>
    <col min="9218" max="9218" width="7.109375" customWidth="1"/>
    <col min="9219" max="9220" width="5.77734375" customWidth="1"/>
    <col min="9221" max="9221" width="6" customWidth="1"/>
    <col min="9461" max="9461" width="3.5546875" customWidth="1"/>
    <col min="9462" max="9464" width="5.77734375" customWidth="1"/>
    <col min="9465" max="9465" width="11.109375" customWidth="1"/>
    <col min="9466" max="9473" width="5.77734375" customWidth="1"/>
    <col min="9474" max="9474" width="7.109375" customWidth="1"/>
    <col min="9475" max="9476" width="5.77734375" customWidth="1"/>
    <col min="9477" max="9477" width="6" customWidth="1"/>
    <col min="9717" max="9717" width="3.5546875" customWidth="1"/>
    <col min="9718" max="9720" width="5.77734375" customWidth="1"/>
    <col min="9721" max="9721" width="11.109375" customWidth="1"/>
    <col min="9722" max="9729" width="5.77734375" customWidth="1"/>
    <col min="9730" max="9730" width="7.109375" customWidth="1"/>
    <col min="9731" max="9732" width="5.77734375" customWidth="1"/>
    <col min="9733" max="9733" width="6" customWidth="1"/>
    <col min="9973" max="9973" width="3.5546875" customWidth="1"/>
    <col min="9974" max="9976" width="5.77734375" customWidth="1"/>
    <col min="9977" max="9977" width="11.109375" customWidth="1"/>
    <col min="9978" max="9985" width="5.77734375" customWidth="1"/>
    <col min="9986" max="9986" width="7.109375" customWidth="1"/>
    <col min="9987" max="9988" width="5.77734375" customWidth="1"/>
    <col min="9989" max="9989" width="6" customWidth="1"/>
    <col min="10229" max="10229" width="3.5546875" customWidth="1"/>
    <col min="10230" max="10232" width="5.77734375" customWidth="1"/>
    <col min="10233" max="10233" width="11.109375" customWidth="1"/>
    <col min="10234" max="10241" width="5.77734375" customWidth="1"/>
    <col min="10242" max="10242" width="7.109375" customWidth="1"/>
    <col min="10243" max="10244" width="5.77734375" customWidth="1"/>
    <col min="10245" max="10245" width="6" customWidth="1"/>
    <col min="10485" max="10485" width="3.5546875" customWidth="1"/>
    <col min="10486" max="10488" width="5.77734375" customWidth="1"/>
    <col min="10489" max="10489" width="11.109375" customWidth="1"/>
    <col min="10490" max="10497" width="5.77734375" customWidth="1"/>
    <col min="10498" max="10498" width="7.109375" customWidth="1"/>
    <col min="10499" max="10500" width="5.77734375" customWidth="1"/>
    <col min="10501" max="10501" width="6" customWidth="1"/>
    <col min="10741" max="10741" width="3.5546875" customWidth="1"/>
    <col min="10742" max="10744" width="5.77734375" customWidth="1"/>
    <col min="10745" max="10745" width="11.109375" customWidth="1"/>
    <col min="10746" max="10753" width="5.77734375" customWidth="1"/>
    <col min="10754" max="10754" width="7.109375" customWidth="1"/>
    <col min="10755" max="10756" width="5.77734375" customWidth="1"/>
    <col min="10757" max="10757" width="6" customWidth="1"/>
    <col min="10997" max="10997" width="3.5546875" customWidth="1"/>
    <col min="10998" max="11000" width="5.77734375" customWidth="1"/>
    <col min="11001" max="11001" width="11.109375" customWidth="1"/>
    <col min="11002" max="11009" width="5.77734375" customWidth="1"/>
    <col min="11010" max="11010" width="7.109375" customWidth="1"/>
    <col min="11011" max="11012" width="5.77734375" customWidth="1"/>
    <col min="11013" max="11013" width="6" customWidth="1"/>
    <col min="11253" max="11253" width="3.5546875" customWidth="1"/>
    <col min="11254" max="11256" width="5.77734375" customWidth="1"/>
    <col min="11257" max="11257" width="11.109375" customWidth="1"/>
    <col min="11258" max="11265" width="5.77734375" customWidth="1"/>
    <col min="11266" max="11266" width="7.109375" customWidth="1"/>
    <col min="11267" max="11268" width="5.77734375" customWidth="1"/>
    <col min="11269" max="11269" width="6" customWidth="1"/>
    <col min="11509" max="11509" width="3.5546875" customWidth="1"/>
    <col min="11510" max="11512" width="5.77734375" customWidth="1"/>
    <col min="11513" max="11513" width="11.109375" customWidth="1"/>
    <col min="11514" max="11521" width="5.77734375" customWidth="1"/>
    <col min="11522" max="11522" width="7.109375" customWidth="1"/>
    <col min="11523" max="11524" width="5.77734375" customWidth="1"/>
    <col min="11525" max="11525" width="6" customWidth="1"/>
    <col min="11765" max="11765" width="3.5546875" customWidth="1"/>
    <col min="11766" max="11768" width="5.77734375" customWidth="1"/>
    <col min="11769" max="11769" width="11.109375" customWidth="1"/>
    <col min="11770" max="11777" width="5.77734375" customWidth="1"/>
    <col min="11778" max="11778" width="7.109375" customWidth="1"/>
    <col min="11779" max="11780" width="5.77734375" customWidth="1"/>
    <col min="11781" max="11781" width="6" customWidth="1"/>
    <col min="12021" max="12021" width="3.5546875" customWidth="1"/>
    <col min="12022" max="12024" width="5.77734375" customWidth="1"/>
    <col min="12025" max="12025" width="11.109375" customWidth="1"/>
    <col min="12026" max="12033" width="5.77734375" customWidth="1"/>
    <col min="12034" max="12034" width="7.109375" customWidth="1"/>
    <col min="12035" max="12036" width="5.77734375" customWidth="1"/>
    <col min="12037" max="12037" width="6" customWidth="1"/>
    <col min="12277" max="12277" width="3.5546875" customWidth="1"/>
    <col min="12278" max="12280" width="5.77734375" customWidth="1"/>
    <col min="12281" max="12281" width="11.109375" customWidth="1"/>
    <col min="12282" max="12289" width="5.77734375" customWidth="1"/>
    <col min="12290" max="12290" width="7.109375" customWidth="1"/>
    <col min="12291" max="12292" width="5.77734375" customWidth="1"/>
    <col min="12293" max="12293" width="6" customWidth="1"/>
    <col min="12533" max="12533" width="3.5546875" customWidth="1"/>
    <col min="12534" max="12536" width="5.77734375" customWidth="1"/>
    <col min="12537" max="12537" width="11.109375" customWidth="1"/>
    <col min="12538" max="12545" width="5.77734375" customWidth="1"/>
    <col min="12546" max="12546" width="7.109375" customWidth="1"/>
    <col min="12547" max="12548" width="5.77734375" customWidth="1"/>
    <col min="12549" max="12549" width="6" customWidth="1"/>
    <col min="12789" max="12789" width="3.5546875" customWidth="1"/>
    <col min="12790" max="12792" width="5.77734375" customWidth="1"/>
    <col min="12793" max="12793" width="11.109375" customWidth="1"/>
    <col min="12794" max="12801" width="5.77734375" customWidth="1"/>
    <col min="12802" max="12802" width="7.109375" customWidth="1"/>
    <col min="12803" max="12804" width="5.77734375" customWidth="1"/>
    <col min="12805" max="12805" width="6" customWidth="1"/>
    <col min="13045" max="13045" width="3.5546875" customWidth="1"/>
    <col min="13046" max="13048" width="5.77734375" customWidth="1"/>
    <col min="13049" max="13049" width="11.109375" customWidth="1"/>
    <col min="13050" max="13057" width="5.77734375" customWidth="1"/>
    <col min="13058" max="13058" width="7.109375" customWidth="1"/>
    <col min="13059" max="13060" width="5.77734375" customWidth="1"/>
    <col min="13061" max="13061" width="6" customWidth="1"/>
    <col min="13301" max="13301" width="3.5546875" customWidth="1"/>
    <col min="13302" max="13304" width="5.77734375" customWidth="1"/>
    <col min="13305" max="13305" width="11.109375" customWidth="1"/>
    <col min="13306" max="13313" width="5.77734375" customWidth="1"/>
    <col min="13314" max="13314" width="7.109375" customWidth="1"/>
    <col min="13315" max="13316" width="5.77734375" customWidth="1"/>
    <col min="13317" max="13317" width="6" customWidth="1"/>
    <col min="13557" max="13557" width="3.5546875" customWidth="1"/>
    <col min="13558" max="13560" width="5.77734375" customWidth="1"/>
    <col min="13561" max="13561" width="11.109375" customWidth="1"/>
    <col min="13562" max="13569" width="5.77734375" customWidth="1"/>
    <col min="13570" max="13570" width="7.109375" customWidth="1"/>
    <col min="13571" max="13572" width="5.77734375" customWidth="1"/>
    <col min="13573" max="13573" width="6" customWidth="1"/>
    <col min="13813" max="13813" width="3.5546875" customWidth="1"/>
    <col min="13814" max="13816" width="5.77734375" customWidth="1"/>
    <col min="13817" max="13817" width="11.109375" customWidth="1"/>
    <col min="13818" max="13825" width="5.77734375" customWidth="1"/>
    <col min="13826" max="13826" width="7.109375" customWidth="1"/>
    <col min="13827" max="13828" width="5.77734375" customWidth="1"/>
    <col min="13829" max="13829" width="6" customWidth="1"/>
    <col min="14069" max="14069" width="3.5546875" customWidth="1"/>
    <col min="14070" max="14072" width="5.77734375" customWidth="1"/>
    <col min="14073" max="14073" width="11.109375" customWidth="1"/>
    <col min="14074" max="14081" width="5.77734375" customWidth="1"/>
    <col min="14082" max="14082" width="7.109375" customWidth="1"/>
    <col min="14083" max="14084" width="5.77734375" customWidth="1"/>
    <col min="14085" max="14085" width="6" customWidth="1"/>
    <col min="14325" max="14325" width="3.5546875" customWidth="1"/>
    <col min="14326" max="14328" width="5.77734375" customWidth="1"/>
    <col min="14329" max="14329" width="11.109375" customWidth="1"/>
    <col min="14330" max="14337" width="5.77734375" customWidth="1"/>
    <col min="14338" max="14338" width="7.109375" customWidth="1"/>
    <col min="14339" max="14340" width="5.77734375" customWidth="1"/>
    <col min="14341" max="14341" width="6" customWidth="1"/>
    <col min="14581" max="14581" width="3.5546875" customWidth="1"/>
    <col min="14582" max="14584" width="5.77734375" customWidth="1"/>
    <col min="14585" max="14585" width="11.109375" customWidth="1"/>
    <col min="14586" max="14593" width="5.77734375" customWidth="1"/>
    <col min="14594" max="14594" width="7.109375" customWidth="1"/>
    <col min="14595" max="14596" width="5.77734375" customWidth="1"/>
    <col min="14597" max="14597" width="6" customWidth="1"/>
    <col min="14837" max="14837" width="3.5546875" customWidth="1"/>
    <col min="14838" max="14840" width="5.77734375" customWidth="1"/>
    <col min="14841" max="14841" width="11.109375" customWidth="1"/>
    <col min="14842" max="14849" width="5.77734375" customWidth="1"/>
    <col min="14850" max="14850" width="7.109375" customWidth="1"/>
    <col min="14851" max="14852" width="5.77734375" customWidth="1"/>
    <col min="14853" max="14853" width="6" customWidth="1"/>
    <col min="15093" max="15093" width="3.5546875" customWidth="1"/>
    <col min="15094" max="15096" width="5.77734375" customWidth="1"/>
    <col min="15097" max="15097" width="11.109375" customWidth="1"/>
    <col min="15098" max="15105" width="5.77734375" customWidth="1"/>
    <col min="15106" max="15106" width="7.109375" customWidth="1"/>
    <col min="15107" max="15108" width="5.77734375" customWidth="1"/>
    <col min="15109" max="15109" width="6" customWidth="1"/>
    <col min="15349" max="15349" width="3.5546875" customWidth="1"/>
    <col min="15350" max="15352" width="5.77734375" customWidth="1"/>
    <col min="15353" max="15353" width="11.109375" customWidth="1"/>
    <col min="15354" max="15361" width="5.77734375" customWidth="1"/>
    <col min="15362" max="15362" width="7.109375" customWidth="1"/>
    <col min="15363" max="15364" width="5.77734375" customWidth="1"/>
    <col min="15365" max="15365" width="6" customWidth="1"/>
    <col min="15605" max="15605" width="3.5546875" customWidth="1"/>
    <col min="15606" max="15608" width="5.77734375" customWidth="1"/>
    <col min="15609" max="15609" width="11.109375" customWidth="1"/>
    <col min="15610" max="15617" width="5.77734375" customWidth="1"/>
    <col min="15618" max="15618" width="7.109375" customWidth="1"/>
    <col min="15619" max="15620" width="5.77734375" customWidth="1"/>
    <col min="15621" max="15621" width="6" customWidth="1"/>
    <col min="15861" max="15861" width="3.5546875" customWidth="1"/>
    <col min="15862" max="15864" width="5.77734375" customWidth="1"/>
    <col min="15865" max="15865" width="11.109375" customWidth="1"/>
    <col min="15866" max="15873" width="5.77734375" customWidth="1"/>
    <col min="15874" max="15874" width="7.109375" customWidth="1"/>
    <col min="15875" max="15876" width="5.77734375" customWidth="1"/>
    <col min="15877" max="15877" width="6" customWidth="1"/>
    <col min="16117" max="16117" width="3.5546875" customWidth="1"/>
    <col min="16118" max="16120" width="5.77734375" customWidth="1"/>
    <col min="16121" max="16121" width="11.109375" customWidth="1"/>
    <col min="16122" max="16129" width="5.77734375" customWidth="1"/>
    <col min="16130" max="16130" width="7.109375" customWidth="1"/>
    <col min="16131" max="16132" width="5.77734375" customWidth="1"/>
    <col min="16133" max="16133" width="6" customWidth="1"/>
  </cols>
  <sheetData>
    <row r="1" spans="1:16" ht="47.25" customHeight="1">
      <c r="A1" s="301" t="s">
        <v>324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</row>
    <row r="2" spans="1:16" ht="29.25" customHeight="1" thickBot="1">
      <c r="A2" s="297" t="s">
        <v>344</v>
      </c>
      <c r="B2" s="297"/>
      <c r="C2" s="298"/>
      <c r="D2" s="298"/>
      <c r="E2" s="298"/>
      <c r="F2" s="3"/>
      <c r="G2" s="2"/>
      <c r="H2" s="2"/>
      <c r="I2" s="2"/>
      <c r="J2" s="2"/>
      <c r="K2" s="323"/>
      <c r="L2" s="323"/>
      <c r="M2" s="324"/>
      <c r="N2" s="324"/>
      <c r="O2" s="324"/>
      <c r="P2" s="324"/>
    </row>
    <row r="3" spans="1:16" ht="16.5" customHeight="1" thickBot="1">
      <c r="A3" s="302" t="s">
        <v>11</v>
      </c>
      <c r="B3" s="305" t="s">
        <v>3</v>
      </c>
      <c r="C3" s="308" t="s">
        <v>12</v>
      </c>
      <c r="D3" s="319" t="s">
        <v>327</v>
      </c>
      <c r="E3" s="310" t="s">
        <v>21</v>
      </c>
      <c r="F3" s="308" t="s">
        <v>22</v>
      </c>
      <c r="G3" s="319" t="s">
        <v>4</v>
      </c>
      <c r="H3" s="319"/>
      <c r="I3" s="319" t="s">
        <v>0</v>
      </c>
      <c r="J3" s="319"/>
      <c r="K3" s="319" t="s">
        <v>1</v>
      </c>
      <c r="L3" s="320"/>
      <c r="M3" s="308" t="s">
        <v>328</v>
      </c>
      <c r="N3" s="222"/>
      <c r="O3" s="329" t="s">
        <v>23</v>
      </c>
      <c r="P3" s="314" t="s">
        <v>24</v>
      </c>
    </row>
    <row r="4" spans="1:16" ht="14.45" customHeight="1" thickBot="1">
      <c r="A4" s="303"/>
      <c r="B4" s="306"/>
      <c r="C4" s="309"/>
      <c r="D4" s="327"/>
      <c r="E4" s="311"/>
      <c r="F4" s="309"/>
      <c r="G4" s="315" t="s">
        <v>2</v>
      </c>
      <c r="H4" s="317" t="s">
        <v>13</v>
      </c>
      <c r="I4" s="332" t="s">
        <v>2</v>
      </c>
      <c r="J4" s="321" t="s">
        <v>13</v>
      </c>
      <c r="K4" s="315" t="s">
        <v>2</v>
      </c>
      <c r="L4" s="317" t="s">
        <v>13</v>
      </c>
      <c r="M4" s="309"/>
      <c r="N4" s="223" t="s">
        <v>329</v>
      </c>
      <c r="O4" s="330"/>
      <c r="P4" s="314"/>
    </row>
    <row r="5" spans="1:16" ht="14.45" customHeight="1" thickBot="1">
      <c r="A5" s="304"/>
      <c r="B5" s="307"/>
      <c r="C5" s="309"/>
      <c r="D5" s="328"/>
      <c r="E5" s="312"/>
      <c r="F5" s="313"/>
      <c r="G5" s="316"/>
      <c r="H5" s="318"/>
      <c r="I5" s="333"/>
      <c r="J5" s="322"/>
      <c r="K5" s="316"/>
      <c r="L5" s="318"/>
      <c r="M5" s="313"/>
      <c r="N5" s="224"/>
      <c r="O5" s="331"/>
      <c r="P5" s="314"/>
    </row>
    <row r="6" spans="1:16">
      <c r="A6" s="273" t="s">
        <v>14</v>
      </c>
      <c r="B6" s="300" t="s">
        <v>6</v>
      </c>
      <c r="C6" s="68" t="s">
        <v>172</v>
      </c>
      <c r="D6" s="137" t="s">
        <v>27</v>
      </c>
      <c r="E6" s="93">
        <v>4</v>
      </c>
      <c r="F6" s="63">
        <v>4</v>
      </c>
      <c r="G6" s="16">
        <v>4</v>
      </c>
      <c r="H6" s="17"/>
      <c r="I6" s="18"/>
      <c r="J6" s="17"/>
      <c r="K6" s="18"/>
      <c r="L6" s="19"/>
      <c r="M6" s="20"/>
      <c r="N6" s="68"/>
      <c r="O6" s="257">
        <f>SUM(G6:L11)</f>
        <v>24</v>
      </c>
      <c r="P6" s="263">
        <v>8</v>
      </c>
    </row>
    <row r="7" spans="1:16">
      <c r="A7" s="274"/>
      <c r="B7" s="277"/>
      <c r="C7" s="21" t="s">
        <v>172</v>
      </c>
      <c r="D7" s="22" t="s">
        <v>31</v>
      </c>
      <c r="E7" s="23">
        <v>4</v>
      </c>
      <c r="F7" s="24">
        <v>4</v>
      </c>
      <c r="G7" s="23"/>
      <c r="H7" s="25">
        <v>4</v>
      </c>
      <c r="I7" s="41"/>
      <c r="J7" s="42"/>
      <c r="K7" s="41"/>
      <c r="L7" s="19"/>
      <c r="M7" s="20"/>
      <c r="N7" s="21"/>
      <c r="O7" s="258"/>
      <c r="P7" s="264"/>
    </row>
    <row r="8" spans="1:16">
      <c r="A8" s="274"/>
      <c r="B8" s="277"/>
      <c r="C8" s="20" t="s">
        <v>279</v>
      </c>
      <c r="D8" s="64" t="s">
        <v>30</v>
      </c>
      <c r="E8" s="16">
        <v>4</v>
      </c>
      <c r="F8" s="63">
        <v>4</v>
      </c>
      <c r="G8" s="16"/>
      <c r="H8" s="42"/>
      <c r="I8" s="41">
        <v>4</v>
      </c>
      <c r="J8" s="42"/>
      <c r="K8" s="41"/>
      <c r="L8" s="19"/>
      <c r="M8" s="20"/>
      <c r="N8" s="21"/>
      <c r="O8" s="258"/>
      <c r="P8" s="264"/>
    </row>
    <row r="9" spans="1:16">
      <c r="A9" s="274"/>
      <c r="B9" s="277"/>
      <c r="C9" s="20" t="s">
        <v>279</v>
      </c>
      <c r="D9" s="64" t="s">
        <v>287</v>
      </c>
      <c r="E9" s="16">
        <v>4</v>
      </c>
      <c r="F9" s="63">
        <v>4</v>
      </c>
      <c r="G9" s="16"/>
      <c r="H9" s="42"/>
      <c r="I9" s="41"/>
      <c r="J9" s="42">
        <v>4</v>
      </c>
      <c r="K9" s="41"/>
      <c r="L9" s="19"/>
      <c r="M9" s="20"/>
      <c r="N9" s="21"/>
      <c r="O9" s="258"/>
      <c r="P9" s="264"/>
    </row>
    <row r="10" spans="1:16">
      <c r="A10" s="274"/>
      <c r="B10" s="277"/>
      <c r="C10" s="20" t="s">
        <v>279</v>
      </c>
      <c r="D10" s="64" t="s">
        <v>288</v>
      </c>
      <c r="E10" s="16">
        <v>4</v>
      </c>
      <c r="F10" s="63">
        <v>4</v>
      </c>
      <c r="G10" s="16"/>
      <c r="H10" s="42"/>
      <c r="I10" s="41"/>
      <c r="J10" s="42"/>
      <c r="K10" s="41">
        <v>4</v>
      </c>
      <c r="L10" s="19"/>
      <c r="M10" s="20"/>
      <c r="N10" s="21"/>
      <c r="O10" s="258"/>
      <c r="P10" s="264"/>
    </row>
    <row r="11" spans="1:16">
      <c r="A11" s="274"/>
      <c r="B11" s="277"/>
      <c r="C11" s="21" t="s">
        <v>283</v>
      </c>
      <c r="D11" s="22" t="s">
        <v>33</v>
      </c>
      <c r="E11" s="46">
        <v>4</v>
      </c>
      <c r="F11" s="45">
        <v>4</v>
      </c>
      <c r="G11" s="23"/>
      <c r="H11" s="25"/>
      <c r="I11" s="26"/>
      <c r="J11" s="25"/>
      <c r="K11" s="26"/>
      <c r="L11" s="27">
        <v>4</v>
      </c>
      <c r="M11" s="20"/>
      <c r="N11" s="33"/>
      <c r="O11" s="270"/>
      <c r="P11" s="264"/>
    </row>
    <row r="12" spans="1:16">
      <c r="A12" s="274"/>
      <c r="B12" s="325" t="s">
        <v>7</v>
      </c>
      <c r="C12" s="32" t="s">
        <v>172</v>
      </c>
      <c r="D12" s="62" t="s">
        <v>28</v>
      </c>
      <c r="E12" s="28">
        <v>4</v>
      </c>
      <c r="F12" s="66">
        <v>4</v>
      </c>
      <c r="G12" s="28">
        <v>4</v>
      </c>
      <c r="H12" s="29"/>
      <c r="I12" s="30"/>
      <c r="J12" s="29"/>
      <c r="K12" s="30"/>
      <c r="L12" s="31"/>
      <c r="M12" s="32"/>
      <c r="N12" s="32"/>
      <c r="O12" s="269">
        <f>SUM(G12:L17)</f>
        <v>24</v>
      </c>
      <c r="P12" s="249">
        <v>8</v>
      </c>
    </row>
    <row r="13" spans="1:16">
      <c r="A13" s="274"/>
      <c r="B13" s="277"/>
      <c r="C13" s="21" t="s">
        <v>172</v>
      </c>
      <c r="D13" s="67" t="s">
        <v>34</v>
      </c>
      <c r="E13" s="23">
        <v>4</v>
      </c>
      <c r="F13" s="24">
        <v>4</v>
      </c>
      <c r="G13" s="23"/>
      <c r="H13" s="25">
        <v>4</v>
      </c>
      <c r="I13" s="26"/>
      <c r="J13" s="25"/>
      <c r="K13" s="26"/>
      <c r="L13" s="27"/>
      <c r="M13" s="21"/>
      <c r="N13" s="21"/>
      <c r="O13" s="258"/>
      <c r="P13" s="264"/>
    </row>
    <row r="14" spans="1:16">
      <c r="A14" s="274"/>
      <c r="B14" s="326"/>
      <c r="C14" s="198" t="s">
        <v>279</v>
      </c>
      <c r="D14" s="199" t="s">
        <v>315</v>
      </c>
      <c r="E14" s="23">
        <v>4</v>
      </c>
      <c r="F14" s="24">
        <v>4</v>
      </c>
      <c r="G14" s="26"/>
      <c r="H14" s="83"/>
      <c r="I14" s="26">
        <v>4</v>
      </c>
      <c r="J14" s="25"/>
      <c r="K14" s="26"/>
      <c r="L14" s="27"/>
      <c r="M14" s="21"/>
      <c r="N14" s="21"/>
      <c r="O14" s="258"/>
      <c r="P14" s="264"/>
    </row>
    <row r="15" spans="1:16">
      <c r="A15" s="274"/>
      <c r="B15" s="277"/>
      <c r="C15" s="21" t="s">
        <v>279</v>
      </c>
      <c r="D15" s="67" t="s">
        <v>289</v>
      </c>
      <c r="E15" s="23">
        <v>4</v>
      </c>
      <c r="F15" s="24">
        <v>4</v>
      </c>
      <c r="G15" s="23"/>
      <c r="H15" s="25"/>
      <c r="I15" s="26"/>
      <c r="J15" s="25">
        <v>4</v>
      </c>
      <c r="K15" s="26"/>
      <c r="L15" s="27"/>
      <c r="M15" s="21"/>
      <c r="N15" s="21"/>
      <c r="O15" s="258"/>
      <c r="P15" s="264"/>
    </row>
    <row r="16" spans="1:16">
      <c r="A16" s="274"/>
      <c r="B16" s="277"/>
      <c r="C16" s="21" t="s">
        <v>279</v>
      </c>
      <c r="D16" s="67" t="s">
        <v>35</v>
      </c>
      <c r="E16" s="23">
        <v>4</v>
      </c>
      <c r="F16" s="24">
        <v>4</v>
      </c>
      <c r="G16" s="23"/>
      <c r="H16" s="25"/>
      <c r="I16" s="26"/>
      <c r="J16" s="25"/>
      <c r="K16" s="26">
        <v>4</v>
      </c>
      <c r="L16" s="27"/>
      <c r="M16" s="21"/>
      <c r="N16" s="21"/>
      <c r="O16" s="258"/>
      <c r="P16" s="264"/>
    </row>
    <row r="17" spans="1:18">
      <c r="A17" s="274"/>
      <c r="B17" s="278"/>
      <c r="C17" s="33" t="s">
        <v>283</v>
      </c>
      <c r="D17" s="34" t="s">
        <v>61</v>
      </c>
      <c r="E17" s="35">
        <v>4</v>
      </c>
      <c r="F17" s="36">
        <v>4</v>
      </c>
      <c r="G17" s="35"/>
      <c r="H17" s="37"/>
      <c r="I17" s="38"/>
      <c r="J17" s="37"/>
      <c r="K17" s="38"/>
      <c r="L17" s="39">
        <v>4</v>
      </c>
      <c r="M17" s="33"/>
      <c r="N17" s="33"/>
      <c r="O17" s="270"/>
      <c r="P17" s="250"/>
    </row>
    <row r="18" spans="1:18">
      <c r="A18" s="274"/>
      <c r="B18" s="277" t="s">
        <v>16</v>
      </c>
      <c r="C18" s="32" t="s">
        <v>172</v>
      </c>
      <c r="D18" s="200" t="s">
        <v>29</v>
      </c>
      <c r="E18" s="66">
        <v>4</v>
      </c>
      <c r="F18" s="66">
        <v>4</v>
      </c>
      <c r="G18" s="28">
        <v>4</v>
      </c>
      <c r="H18" s="29"/>
      <c r="I18" s="30"/>
      <c r="J18" s="29"/>
      <c r="K18" s="30"/>
      <c r="L18" s="31"/>
      <c r="M18" s="32"/>
      <c r="N18" s="32"/>
      <c r="O18" s="269">
        <f>SUM(G18:L23)</f>
        <v>23</v>
      </c>
      <c r="P18" s="249">
        <v>8</v>
      </c>
    </row>
    <row r="19" spans="1:18">
      <c r="A19" s="274"/>
      <c r="B19" s="277"/>
      <c r="C19" s="21" t="s">
        <v>172</v>
      </c>
      <c r="D19" s="22" t="s">
        <v>40</v>
      </c>
      <c r="E19" s="24">
        <v>4</v>
      </c>
      <c r="F19" s="23">
        <v>4</v>
      </c>
      <c r="G19" s="23"/>
      <c r="H19" s="25">
        <v>4</v>
      </c>
      <c r="I19" s="26"/>
      <c r="J19" s="25"/>
      <c r="K19" s="26"/>
      <c r="L19" s="27"/>
      <c r="M19" s="21"/>
      <c r="N19" s="21"/>
      <c r="O19" s="258"/>
      <c r="P19" s="264"/>
    </row>
    <row r="20" spans="1:18">
      <c r="A20" s="274"/>
      <c r="B20" s="277"/>
      <c r="C20" s="21" t="s">
        <v>279</v>
      </c>
      <c r="D20" s="22" t="s">
        <v>290</v>
      </c>
      <c r="E20" s="23">
        <v>4</v>
      </c>
      <c r="F20" s="24">
        <v>4</v>
      </c>
      <c r="G20" s="26"/>
      <c r="H20" s="83"/>
      <c r="I20" s="26">
        <v>4</v>
      </c>
      <c r="J20" s="25"/>
      <c r="K20" s="26"/>
      <c r="L20" s="27"/>
      <c r="M20" s="21"/>
      <c r="N20" s="21"/>
      <c r="O20" s="258"/>
      <c r="P20" s="264"/>
    </row>
    <row r="21" spans="1:18">
      <c r="A21" s="274"/>
      <c r="B21" s="277"/>
      <c r="C21" s="21" t="s">
        <v>279</v>
      </c>
      <c r="D21" s="22" t="s">
        <v>291</v>
      </c>
      <c r="E21" s="23">
        <v>4</v>
      </c>
      <c r="F21" s="24">
        <v>4</v>
      </c>
      <c r="G21" s="23"/>
      <c r="H21" s="25"/>
      <c r="I21" s="26"/>
      <c r="J21" s="25">
        <v>4</v>
      </c>
      <c r="K21" s="26"/>
      <c r="L21" s="27"/>
      <c r="M21" s="21"/>
      <c r="N21" s="21"/>
      <c r="O21" s="258"/>
      <c r="P21" s="264"/>
    </row>
    <row r="22" spans="1:18">
      <c r="A22" s="274"/>
      <c r="B22" s="277"/>
      <c r="C22" s="21" t="s">
        <v>279</v>
      </c>
      <c r="D22" s="22" t="s">
        <v>41</v>
      </c>
      <c r="E22" s="23">
        <v>4</v>
      </c>
      <c r="F22" s="24">
        <v>3</v>
      </c>
      <c r="G22" s="23"/>
      <c r="H22" s="25"/>
      <c r="I22" s="26"/>
      <c r="J22" s="25"/>
      <c r="K22" s="26">
        <v>3</v>
      </c>
      <c r="L22" s="27"/>
      <c r="M22" s="21"/>
      <c r="N22" s="21"/>
      <c r="O22" s="258"/>
      <c r="P22" s="264"/>
    </row>
    <row r="23" spans="1:18">
      <c r="A23" s="274"/>
      <c r="B23" s="277"/>
      <c r="C23" s="33" t="s">
        <v>282</v>
      </c>
      <c r="D23" s="160" t="s">
        <v>292</v>
      </c>
      <c r="E23" s="36">
        <v>4</v>
      </c>
      <c r="F23" s="35">
        <v>4</v>
      </c>
      <c r="G23" s="35"/>
      <c r="H23" s="37"/>
      <c r="I23" s="38"/>
      <c r="J23" s="37"/>
      <c r="K23" s="38"/>
      <c r="L23" s="39">
        <v>4</v>
      </c>
      <c r="M23" s="33"/>
      <c r="N23" s="33"/>
      <c r="O23" s="270"/>
      <c r="P23" s="250"/>
    </row>
    <row r="24" spans="1:18">
      <c r="A24" s="274"/>
      <c r="B24" s="325" t="s">
        <v>271</v>
      </c>
      <c r="C24" s="32" t="s">
        <v>172</v>
      </c>
      <c r="D24" s="62" t="s">
        <v>268</v>
      </c>
      <c r="E24" s="28">
        <v>3</v>
      </c>
      <c r="F24" s="28">
        <v>3</v>
      </c>
      <c r="G24" s="30">
        <v>3</v>
      </c>
      <c r="H24" s="29"/>
      <c r="I24" s="30"/>
      <c r="J24" s="29"/>
      <c r="K24" s="30"/>
      <c r="L24" s="31"/>
      <c r="M24" s="32"/>
      <c r="N24" s="32"/>
      <c r="O24" s="269">
        <f>SUM(G24:L25)</f>
        <v>6</v>
      </c>
      <c r="P24" s="249">
        <v>6</v>
      </c>
    </row>
    <row r="25" spans="1:18">
      <c r="A25" s="274"/>
      <c r="B25" s="277"/>
      <c r="C25" s="43" t="s">
        <v>172</v>
      </c>
      <c r="D25" s="48" t="s">
        <v>274</v>
      </c>
      <c r="E25" s="49">
        <v>3</v>
      </c>
      <c r="F25" s="49">
        <v>3</v>
      </c>
      <c r="G25" s="114"/>
      <c r="H25" s="115">
        <v>3</v>
      </c>
      <c r="I25" s="114"/>
      <c r="J25" s="115"/>
      <c r="K25" s="114"/>
      <c r="L25" s="106"/>
      <c r="M25" s="47"/>
      <c r="N25" s="33"/>
      <c r="O25" s="270"/>
      <c r="P25" s="264"/>
    </row>
    <row r="26" spans="1:18">
      <c r="A26" s="274"/>
      <c r="B26" s="277"/>
      <c r="C26" s="32" t="s">
        <v>172</v>
      </c>
      <c r="D26" s="62" t="s">
        <v>270</v>
      </c>
      <c r="E26" s="28">
        <v>4</v>
      </c>
      <c r="F26" s="138">
        <v>4</v>
      </c>
      <c r="G26" s="30">
        <v>4</v>
      </c>
      <c r="H26" s="29"/>
      <c r="I26" s="30"/>
      <c r="J26" s="29"/>
      <c r="K26" s="30"/>
      <c r="L26" s="31"/>
      <c r="M26" s="32"/>
      <c r="N26" s="32"/>
      <c r="O26" s="269">
        <f>SUM(G26:L27)</f>
        <v>8</v>
      </c>
      <c r="P26" s="249">
        <v>8</v>
      </c>
    </row>
    <row r="27" spans="1:18">
      <c r="A27" s="274"/>
      <c r="B27" s="278"/>
      <c r="C27" s="33" t="s">
        <v>172</v>
      </c>
      <c r="D27" s="34" t="s">
        <v>275</v>
      </c>
      <c r="E27" s="53">
        <v>4</v>
      </c>
      <c r="F27" s="54">
        <v>4</v>
      </c>
      <c r="G27" s="38"/>
      <c r="H27" s="37">
        <v>4</v>
      </c>
      <c r="I27" s="38"/>
      <c r="J27" s="37"/>
      <c r="K27" s="201"/>
      <c r="L27" s="202"/>
      <c r="M27" s="33"/>
      <c r="N27" s="33"/>
      <c r="O27" s="270"/>
      <c r="P27" s="250"/>
    </row>
    <row r="28" spans="1:18">
      <c r="A28" s="274"/>
      <c r="B28" s="277" t="s">
        <v>8</v>
      </c>
      <c r="C28" s="20" t="s">
        <v>172</v>
      </c>
      <c r="D28" s="64" t="s">
        <v>269</v>
      </c>
      <c r="E28" s="66">
        <v>4</v>
      </c>
      <c r="F28" s="138">
        <v>4</v>
      </c>
      <c r="G28" s="30">
        <v>4</v>
      </c>
      <c r="H28" s="29"/>
      <c r="I28" s="30"/>
      <c r="J28" s="29"/>
      <c r="K28" s="57"/>
      <c r="L28" s="58"/>
      <c r="M28" s="20"/>
      <c r="N28" s="32"/>
      <c r="O28" s="269">
        <f>SUM(G28:L31)</f>
        <v>10</v>
      </c>
      <c r="P28" s="249">
        <v>10</v>
      </c>
    </row>
    <row r="29" spans="1:18">
      <c r="A29" s="274"/>
      <c r="B29" s="277"/>
      <c r="C29" s="21" t="s">
        <v>172</v>
      </c>
      <c r="D29" s="22" t="s">
        <v>276</v>
      </c>
      <c r="E29" s="23">
        <v>4</v>
      </c>
      <c r="F29" s="59">
        <v>4</v>
      </c>
      <c r="G29" s="26"/>
      <c r="H29" s="25">
        <v>4</v>
      </c>
      <c r="I29" s="26"/>
      <c r="J29" s="25"/>
      <c r="K29" s="60"/>
      <c r="L29" s="61"/>
      <c r="M29" s="20"/>
      <c r="N29" s="21"/>
      <c r="O29" s="258"/>
      <c r="P29" s="264"/>
    </row>
    <row r="30" spans="1:18">
      <c r="A30" s="274"/>
      <c r="B30" s="277"/>
      <c r="C30" s="21" t="s">
        <v>172</v>
      </c>
      <c r="D30" s="22" t="s">
        <v>277</v>
      </c>
      <c r="E30" s="23">
        <v>1</v>
      </c>
      <c r="F30" s="59">
        <v>1</v>
      </c>
      <c r="G30" s="26">
        <v>1</v>
      </c>
      <c r="H30" s="25"/>
      <c r="I30" s="26"/>
      <c r="J30" s="25"/>
      <c r="K30" s="60"/>
      <c r="L30" s="61"/>
      <c r="M30" s="20"/>
      <c r="N30" s="21"/>
      <c r="O30" s="258"/>
      <c r="P30" s="264"/>
    </row>
    <row r="31" spans="1:18">
      <c r="A31" s="274"/>
      <c r="B31" s="278"/>
      <c r="C31" s="43" t="s">
        <v>172</v>
      </c>
      <c r="D31" s="44" t="s">
        <v>278</v>
      </c>
      <c r="E31" s="35">
        <v>1</v>
      </c>
      <c r="F31" s="36">
        <v>1</v>
      </c>
      <c r="G31" s="38"/>
      <c r="H31" s="37">
        <v>1</v>
      </c>
      <c r="I31" s="38"/>
      <c r="J31" s="37"/>
      <c r="K31" s="38"/>
      <c r="L31" s="39"/>
      <c r="M31" s="47"/>
      <c r="N31" s="33"/>
      <c r="O31" s="270"/>
      <c r="P31" s="250"/>
      <c r="R31" s="6"/>
    </row>
    <row r="32" spans="1:18">
      <c r="A32" s="274"/>
      <c r="B32" s="325" t="s">
        <v>9</v>
      </c>
      <c r="C32" s="32" t="s">
        <v>279</v>
      </c>
      <c r="D32" s="62" t="s">
        <v>280</v>
      </c>
      <c r="E32" s="28">
        <v>3</v>
      </c>
      <c r="F32" s="66">
        <v>2</v>
      </c>
      <c r="G32" s="28">
        <v>2</v>
      </c>
      <c r="H32" s="29"/>
      <c r="I32" s="30"/>
      <c r="J32" s="29"/>
      <c r="K32" s="30"/>
      <c r="L32" s="31"/>
      <c r="M32" s="32"/>
      <c r="N32" s="32"/>
      <c r="O32" s="269">
        <f>SUM(G32:L37)</f>
        <v>10</v>
      </c>
      <c r="P32" s="249">
        <v>10</v>
      </c>
      <c r="R32" s="6"/>
    </row>
    <row r="33" spans="1:18">
      <c r="A33" s="274"/>
      <c r="B33" s="277"/>
      <c r="C33" s="21" t="s">
        <v>279</v>
      </c>
      <c r="D33" s="67" t="s">
        <v>281</v>
      </c>
      <c r="E33" s="23">
        <v>3</v>
      </c>
      <c r="F33" s="24">
        <v>2</v>
      </c>
      <c r="G33" s="23"/>
      <c r="H33" s="25">
        <v>2</v>
      </c>
      <c r="I33" s="26"/>
      <c r="J33" s="25"/>
      <c r="K33" s="26"/>
      <c r="L33" s="27"/>
      <c r="M33" s="21"/>
      <c r="N33" s="21"/>
      <c r="O33" s="258"/>
      <c r="P33" s="264"/>
      <c r="R33" s="6"/>
    </row>
    <row r="34" spans="1:18">
      <c r="A34" s="274"/>
      <c r="B34" s="277"/>
      <c r="C34" s="21" t="s">
        <v>283</v>
      </c>
      <c r="D34" s="67" t="s">
        <v>241</v>
      </c>
      <c r="E34" s="23">
        <v>3</v>
      </c>
      <c r="F34" s="24">
        <v>2</v>
      </c>
      <c r="G34" s="23"/>
      <c r="H34" s="25"/>
      <c r="I34" s="26">
        <v>2</v>
      </c>
      <c r="J34" s="25"/>
      <c r="K34" s="26"/>
      <c r="L34" s="27"/>
      <c r="M34" s="21"/>
      <c r="N34" s="21"/>
      <c r="O34" s="258"/>
      <c r="P34" s="264"/>
      <c r="R34" s="6"/>
    </row>
    <row r="35" spans="1:18">
      <c r="A35" s="274"/>
      <c r="B35" s="277"/>
      <c r="C35" s="21" t="s">
        <v>282</v>
      </c>
      <c r="D35" s="67" t="s">
        <v>204</v>
      </c>
      <c r="E35" s="23">
        <v>3</v>
      </c>
      <c r="F35" s="24">
        <v>2</v>
      </c>
      <c r="G35" s="23"/>
      <c r="H35" s="25"/>
      <c r="I35" s="26"/>
      <c r="J35" s="25">
        <v>2</v>
      </c>
      <c r="K35" s="26"/>
      <c r="L35" s="27"/>
      <c r="M35" s="21"/>
      <c r="N35" s="21"/>
      <c r="O35" s="258"/>
      <c r="P35" s="264"/>
      <c r="R35" s="6"/>
    </row>
    <row r="36" spans="1:18" ht="15" customHeight="1">
      <c r="A36" s="274"/>
      <c r="B36" s="277"/>
      <c r="C36" s="21" t="s">
        <v>282</v>
      </c>
      <c r="D36" s="67" t="s">
        <v>285</v>
      </c>
      <c r="E36" s="23">
        <v>2</v>
      </c>
      <c r="F36" s="24">
        <v>1</v>
      </c>
      <c r="G36" s="23"/>
      <c r="H36" s="25"/>
      <c r="I36" s="26"/>
      <c r="J36" s="25"/>
      <c r="K36" s="26">
        <v>1</v>
      </c>
      <c r="L36" s="27"/>
      <c r="M36" s="21"/>
      <c r="N36" s="21"/>
      <c r="O36" s="258"/>
      <c r="P36" s="264"/>
      <c r="R36" s="6"/>
    </row>
    <row r="37" spans="1:18">
      <c r="A37" s="274"/>
      <c r="B37" s="278"/>
      <c r="C37" s="33" t="s">
        <v>282</v>
      </c>
      <c r="D37" s="34" t="s">
        <v>284</v>
      </c>
      <c r="E37" s="35">
        <v>2</v>
      </c>
      <c r="F37" s="36">
        <v>1</v>
      </c>
      <c r="G37" s="35"/>
      <c r="H37" s="37"/>
      <c r="I37" s="38"/>
      <c r="J37" s="37"/>
      <c r="K37" s="38"/>
      <c r="L37" s="39">
        <v>1</v>
      </c>
      <c r="M37" s="33"/>
      <c r="N37" s="33"/>
      <c r="O37" s="270"/>
      <c r="P37" s="250"/>
      <c r="R37" s="6"/>
    </row>
    <row r="38" spans="1:18">
      <c r="A38" s="274"/>
      <c r="B38" s="281" t="s">
        <v>10</v>
      </c>
      <c r="C38" s="20" t="s">
        <v>279</v>
      </c>
      <c r="D38" s="64" t="s">
        <v>286</v>
      </c>
      <c r="E38" s="28">
        <v>3</v>
      </c>
      <c r="F38" s="66">
        <v>3</v>
      </c>
      <c r="G38" s="28">
        <v>3</v>
      </c>
      <c r="H38" s="29"/>
      <c r="I38" s="30"/>
      <c r="J38" s="29"/>
      <c r="K38" s="30"/>
      <c r="L38" s="31"/>
      <c r="M38" s="32"/>
      <c r="N38" s="32"/>
      <c r="O38" s="269">
        <f>SUM(G38:L40)</f>
        <v>6</v>
      </c>
      <c r="P38" s="249">
        <v>10</v>
      </c>
      <c r="R38" s="6"/>
    </row>
    <row r="39" spans="1:18">
      <c r="A39" s="274"/>
      <c r="B39" s="282"/>
      <c r="C39" s="40" t="s">
        <v>316</v>
      </c>
      <c r="D39" s="156" t="s">
        <v>317</v>
      </c>
      <c r="E39" s="35">
        <v>3</v>
      </c>
      <c r="F39" s="36">
        <v>3</v>
      </c>
      <c r="G39" s="35"/>
      <c r="H39" s="37">
        <v>3</v>
      </c>
      <c r="I39" s="38"/>
      <c r="J39" s="37"/>
      <c r="K39" s="38"/>
      <c r="L39" s="39"/>
      <c r="M39" s="33"/>
      <c r="N39" s="33"/>
      <c r="O39" s="270"/>
      <c r="P39" s="250"/>
      <c r="R39" s="6"/>
    </row>
    <row r="40" spans="1:18" ht="41.25" thickBot="1">
      <c r="A40" s="274"/>
      <c r="B40" s="153" t="s">
        <v>335</v>
      </c>
      <c r="C40" s="47"/>
      <c r="D40" s="122"/>
      <c r="E40" s="53"/>
      <c r="F40" s="152"/>
      <c r="G40" s="53"/>
      <c r="H40" s="56"/>
      <c r="I40" s="55" t="s">
        <v>104</v>
      </c>
      <c r="J40" s="56"/>
      <c r="K40" s="55"/>
      <c r="L40" s="154"/>
      <c r="M40" s="47"/>
      <c r="N40" s="47"/>
      <c r="O40" s="119"/>
      <c r="P40" s="155">
        <v>16</v>
      </c>
      <c r="R40" s="6"/>
    </row>
    <row r="41" spans="1:18" ht="15" customHeight="1">
      <c r="A41" s="273" t="s">
        <v>18</v>
      </c>
      <c r="B41" s="107" t="s">
        <v>6</v>
      </c>
      <c r="C41" s="129" t="s">
        <v>282</v>
      </c>
      <c r="D41" s="191" t="s">
        <v>303</v>
      </c>
      <c r="E41" s="187">
        <v>4</v>
      </c>
      <c r="F41" s="186">
        <v>3</v>
      </c>
      <c r="G41" s="192"/>
      <c r="H41" s="193"/>
      <c r="I41" s="286" t="s">
        <v>318</v>
      </c>
      <c r="J41" s="192"/>
      <c r="K41" s="113"/>
      <c r="L41" s="187"/>
      <c r="M41" s="129"/>
      <c r="N41" s="129"/>
      <c r="O41" s="257">
        <v>30</v>
      </c>
      <c r="P41" s="263">
        <v>30</v>
      </c>
      <c r="R41" s="6"/>
    </row>
    <row r="42" spans="1:18">
      <c r="A42" s="274"/>
      <c r="B42" s="189" t="s">
        <v>7</v>
      </c>
      <c r="C42" s="125" t="s">
        <v>282</v>
      </c>
      <c r="D42" s="131" t="s">
        <v>294</v>
      </c>
      <c r="E42" s="185">
        <v>4</v>
      </c>
      <c r="F42" s="127">
        <v>3</v>
      </c>
      <c r="G42" s="185"/>
      <c r="H42" s="101"/>
      <c r="I42" s="287"/>
      <c r="J42" s="195"/>
      <c r="K42" s="100"/>
      <c r="L42" s="190"/>
      <c r="M42" s="125"/>
      <c r="N42" s="125"/>
      <c r="O42" s="258"/>
      <c r="P42" s="264"/>
    </row>
    <row r="43" spans="1:18">
      <c r="A43" s="274"/>
      <c r="B43" s="109" t="s">
        <v>16</v>
      </c>
      <c r="C43" s="47" t="s">
        <v>282</v>
      </c>
      <c r="D43" s="121" t="s">
        <v>295</v>
      </c>
      <c r="E43" s="53">
        <v>4</v>
      </c>
      <c r="F43" s="184">
        <v>3</v>
      </c>
      <c r="G43" s="53"/>
      <c r="H43" s="56"/>
      <c r="I43" s="287"/>
      <c r="J43" s="194"/>
      <c r="K43" s="55"/>
      <c r="L43" s="188"/>
      <c r="M43" s="47"/>
      <c r="N43" s="125"/>
      <c r="O43" s="258"/>
      <c r="P43" s="264"/>
    </row>
    <row r="44" spans="1:18" ht="15.6" customHeight="1">
      <c r="A44" s="274"/>
      <c r="B44" s="281" t="s">
        <v>271</v>
      </c>
      <c r="C44" s="32" t="s">
        <v>282</v>
      </c>
      <c r="D44" s="62" t="s">
        <v>194</v>
      </c>
      <c r="E44" s="66">
        <v>4</v>
      </c>
      <c r="F44" s="66">
        <v>3</v>
      </c>
      <c r="G44" s="28"/>
      <c r="H44" s="72"/>
      <c r="I44" s="287"/>
      <c r="J44" s="73"/>
      <c r="K44" s="74"/>
      <c r="L44" s="75"/>
      <c r="M44" s="32"/>
      <c r="N44" s="20"/>
      <c r="O44" s="258"/>
      <c r="P44" s="264"/>
    </row>
    <row r="45" spans="1:18">
      <c r="A45" s="274"/>
      <c r="B45" s="279"/>
      <c r="C45" s="20" t="s">
        <v>283</v>
      </c>
      <c r="D45" s="71" t="s">
        <v>311</v>
      </c>
      <c r="E45" s="16">
        <v>4</v>
      </c>
      <c r="F45" s="63">
        <v>3</v>
      </c>
      <c r="G45" s="16"/>
      <c r="H45" s="82"/>
      <c r="I45" s="287"/>
      <c r="J45" s="132"/>
      <c r="K45" s="91"/>
      <c r="L45" s="92"/>
      <c r="M45" s="20"/>
      <c r="N45" s="21"/>
      <c r="O45" s="258"/>
      <c r="P45" s="264"/>
    </row>
    <row r="46" spans="1:18">
      <c r="A46" s="274"/>
      <c r="B46" s="282"/>
      <c r="C46" s="33" t="s">
        <v>282</v>
      </c>
      <c r="D46" s="34" t="s">
        <v>319</v>
      </c>
      <c r="E46" s="35">
        <v>4</v>
      </c>
      <c r="F46" s="36">
        <v>3</v>
      </c>
      <c r="G46" s="35"/>
      <c r="H46" s="78"/>
      <c r="I46" s="287"/>
      <c r="J46" s="79"/>
      <c r="K46" s="80"/>
      <c r="L46" s="81"/>
      <c r="M46" s="40"/>
      <c r="N46" s="43"/>
      <c r="O46" s="258"/>
      <c r="P46" s="264"/>
    </row>
    <row r="47" spans="1:18">
      <c r="A47" s="274"/>
      <c r="B47" s="279" t="s">
        <v>312</v>
      </c>
      <c r="C47" s="20" t="s">
        <v>279</v>
      </c>
      <c r="D47" s="67" t="s">
        <v>297</v>
      </c>
      <c r="E47" s="23">
        <v>4</v>
      </c>
      <c r="F47" s="24">
        <v>3</v>
      </c>
      <c r="G47" s="23"/>
      <c r="H47" s="76"/>
      <c r="I47" s="287"/>
      <c r="J47" s="83"/>
      <c r="K47" s="23"/>
      <c r="L47" s="76"/>
      <c r="M47" s="20"/>
      <c r="N47" s="32"/>
      <c r="O47" s="258"/>
      <c r="P47" s="264"/>
    </row>
    <row r="48" spans="1:18">
      <c r="A48" s="274"/>
      <c r="B48" s="282"/>
      <c r="C48" s="20" t="s">
        <v>279</v>
      </c>
      <c r="D48" s="48" t="s">
        <v>299</v>
      </c>
      <c r="E48" s="35">
        <v>4</v>
      </c>
      <c r="F48" s="36">
        <v>3</v>
      </c>
      <c r="G48" s="85"/>
      <c r="H48" s="37"/>
      <c r="I48" s="287"/>
      <c r="J48" s="86"/>
      <c r="K48" s="85"/>
      <c r="L48" s="37"/>
      <c r="M48" s="47"/>
      <c r="N48" s="33"/>
      <c r="O48" s="258"/>
      <c r="P48" s="264"/>
    </row>
    <row r="49" spans="1:18" ht="16.5" customHeight="1">
      <c r="A49" s="274"/>
      <c r="B49" s="299" t="s">
        <v>103</v>
      </c>
      <c r="C49" s="32" t="s">
        <v>279</v>
      </c>
      <c r="D49" s="62" t="s">
        <v>48</v>
      </c>
      <c r="E49" s="28">
        <v>4</v>
      </c>
      <c r="F49" s="66">
        <v>3</v>
      </c>
      <c r="G49" s="28"/>
      <c r="H49" s="29"/>
      <c r="I49" s="287"/>
      <c r="J49" s="87"/>
      <c r="K49" s="30"/>
      <c r="L49" s="29"/>
      <c r="M49" s="32"/>
      <c r="N49" s="20"/>
      <c r="O49" s="258"/>
      <c r="P49" s="264"/>
    </row>
    <row r="50" spans="1:18" ht="16.5" customHeight="1">
      <c r="A50" s="274"/>
      <c r="B50" s="299"/>
      <c r="C50" s="33" t="s">
        <v>279</v>
      </c>
      <c r="D50" s="34" t="s">
        <v>300</v>
      </c>
      <c r="E50" s="16">
        <v>4</v>
      </c>
      <c r="F50" s="63">
        <v>3</v>
      </c>
      <c r="G50" s="16"/>
      <c r="H50" s="42"/>
      <c r="I50" s="287"/>
      <c r="J50" s="70"/>
      <c r="K50" s="41"/>
      <c r="L50" s="42"/>
      <c r="M50" s="40"/>
      <c r="N50" s="43"/>
      <c r="O50" s="258"/>
      <c r="P50" s="264"/>
    </row>
    <row r="51" spans="1:18" ht="16.5" customHeight="1">
      <c r="A51" s="274"/>
      <c r="B51" s="281" t="s">
        <v>102</v>
      </c>
      <c r="C51" s="20" t="s">
        <v>279</v>
      </c>
      <c r="D51" s="71" t="s">
        <v>301</v>
      </c>
      <c r="E51" s="28">
        <v>4</v>
      </c>
      <c r="F51" s="66">
        <v>3</v>
      </c>
      <c r="G51" s="28"/>
      <c r="H51" s="29"/>
      <c r="I51" s="287"/>
      <c r="J51" s="87"/>
      <c r="K51" s="30"/>
      <c r="L51" s="29"/>
      <c r="M51" s="20"/>
      <c r="N51" s="32"/>
      <c r="O51" s="258"/>
      <c r="P51" s="264"/>
    </row>
    <row r="52" spans="1:18" ht="16.5" customHeight="1">
      <c r="A52" s="274"/>
      <c r="B52" s="279"/>
      <c r="C52" s="21" t="s">
        <v>279</v>
      </c>
      <c r="D52" s="67" t="s">
        <v>337</v>
      </c>
      <c r="E52" s="23">
        <v>4</v>
      </c>
      <c r="F52" s="24">
        <v>3</v>
      </c>
      <c r="G52" s="23"/>
      <c r="H52" s="25"/>
      <c r="I52" s="287"/>
      <c r="J52" s="203"/>
      <c r="K52" s="26"/>
      <c r="L52" s="25"/>
      <c r="M52" s="21"/>
      <c r="N52" s="21"/>
      <c r="O52" s="258"/>
      <c r="P52" s="264"/>
    </row>
    <row r="53" spans="1:18" ht="16.5" customHeight="1">
      <c r="A53" s="274"/>
      <c r="B53" s="282"/>
      <c r="C53" s="33" t="s">
        <v>279</v>
      </c>
      <c r="D53" s="34" t="s">
        <v>49</v>
      </c>
      <c r="E53" s="35">
        <v>4</v>
      </c>
      <c r="F53" s="36">
        <v>3</v>
      </c>
      <c r="G53" s="35"/>
      <c r="H53" s="37"/>
      <c r="I53" s="287"/>
      <c r="J53" s="204"/>
      <c r="K53" s="38"/>
      <c r="L53" s="37"/>
      <c r="M53" s="33"/>
      <c r="N53" s="33"/>
      <c r="O53" s="258"/>
      <c r="P53" s="264"/>
    </row>
    <row r="54" spans="1:18" ht="16.149999999999999" customHeight="1" thickBot="1">
      <c r="A54" s="274"/>
      <c r="B54" s="243" t="s">
        <v>336</v>
      </c>
      <c r="C54" s="88" t="s">
        <v>282</v>
      </c>
      <c r="D54" s="89" t="s">
        <v>99</v>
      </c>
      <c r="E54" s="205">
        <v>3</v>
      </c>
      <c r="F54" s="206">
        <v>3</v>
      </c>
      <c r="G54" s="205"/>
      <c r="H54" s="207"/>
      <c r="I54" s="288"/>
      <c r="J54" s="208"/>
      <c r="K54" s="209"/>
      <c r="L54" s="207"/>
      <c r="M54" s="88"/>
      <c r="N54" s="88"/>
      <c r="O54" s="258"/>
      <c r="P54" s="264"/>
    </row>
    <row r="55" spans="1:18" ht="15" customHeight="1">
      <c r="A55" s="275"/>
      <c r="B55" s="108" t="s">
        <v>6</v>
      </c>
      <c r="C55" s="47" t="s">
        <v>326</v>
      </c>
      <c r="D55" s="128" t="s">
        <v>293</v>
      </c>
      <c r="E55" s="106">
        <v>4</v>
      </c>
      <c r="F55" s="117">
        <v>3</v>
      </c>
      <c r="G55" s="167"/>
      <c r="H55" s="218"/>
      <c r="I55" s="113"/>
      <c r="J55" s="289" t="s">
        <v>318</v>
      </c>
      <c r="K55" s="113"/>
      <c r="L55" s="111"/>
      <c r="M55" s="47"/>
      <c r="N55" s="40"/>
      <c r="O55" s="259"/>
      <c r="P55" s="265"/>
      <c r="R55" s="6"/>
    </row>
    <row r="56" spans="1:18" ht="15" customHeight="1">
      <c r="A56" s="275"/>
      <c r="B56" s="292" t="s">
        <v>7</v>
      </c>
      <c r="C56" s="210" t="s">
        <v>282</v>
      </c>
      <c r="D56" s="211" t="s">
        <v>305</v>
      </c>
      <c r="E56" s="28">
        <v>4</v>
      </c>
      <c r="F56" s="28">
        <v>3</v>
      </c>
      <c r="G56" s="30"/>
      <c r="H56" s="31"/>
      <c r="I56" s="30"/>
      <c r="J56" s="290"/>
      <c r="K56" s="30"/>
      <c r="L56" s="215"/>
      <c r="M56" s="32"/>
      <c r="N56" s="20"/>
      <c r="O56" s="260"/>
      <c r="P56" s="265"/>
      <c r="R56" s="6"/>
    </row>
    <row r="57" spans="1:18">
      <c r="A57" s="275"/>
      <c r="B57" s="293"/>
      <c r="C57" s="212" t="s">
        <v>283</v>
      </c>
      <c r="D57" s="213" t="s">
        <v>37</v>
      </c>
      <c r="E57" s="35">
        <v>4</v>
      </c>
      <c r="F57" s="214">
        <v>3</v>
      </c>
      <c r="G57" s="38"/>
      <c r="H57" s="39"/>
      <c r="I57" s="38"/>
      <c r="J57" s="290"/>
      <c r="K57" s="38"/>
      <c r="L57" s="225"/>
      <c r="M57" s="33"/>
      <c r="N57" s="43"/>
      <c r="O57" s="260"/>
      <c r="P57" s="265"/>
    </row>
    <row r="58" spans="1:18">
      <c r="A58" s="275"/>
      <c r="B58" s="112" t="s">
        <v>16</v>
      </c>
      <c r="C58" s="125" t="s">
        <v>283</v>
      </c>
      <c r="D58" s="126" t="s">
        <v>42</v>
      </c>
      <c r="E58" s="118">
        <v>4</v>
      </c>
      <c r="F58" s="127">
        <v>3</v>
      </c>
      <c r="G58" s="100"/>
      <c r="H58" s="162"/>
      <c r="I58" s="100"/>
      <c r="J58" s="290"/>
      <c r="K58" s="100"/>
      <c r="L58" s="110"/>
      <c r="M58" s="125"/>
      <c r="N58" s="125"/>
      <c r="O58" s="259"/>
      <c r="P58" s="265"/>
    </row>
    <row r="59" spans="1:18" ht="15.6" customHeight="1">
      <c r="A59" s="275"/>
      <c r="B59" s="281" t="s">
        <v>271</v>
      </c>
      <c r="C59" s="32" t="s">
        <v>282</v>
      </c>
      <c r="D59" s="62" t="s">
        <v>306</v>
      </c>
      <c r="E59" s="63">
        <v>4</v>
      </c>
      <c r="F59" s="63">
        <v>3</v>
      </c>
      <c r="G59" s="30"/>
      <c r="H59" s="31"/>
      <c r="I59" s="91"/>
      <c r="J59" s="290"/>
      <c r="K59" s="41"/>
      <c r="L59" s="19"/>
      <c r="M59" s="32"/>
      <c r="N59" s="20"/>
      <c r="O59" s="259"/>
      <c r="P59" s="265"/>
    </row>
    <row r="60" spans="1:18">
      <c r="A60" s="275"/>
      <c r="B60" s="279"/>
      <c r="C60" s="20" t="s">
        <v>282</v>
      </c>
      <c r="D60" s="71" t="s">
        <v>307</v>
      </c>
      <c r="E60" s="16">
        <v>4</v>
      </c>
      <c r="F60" s="63">
        <v>3</v>
      </c>
      <c r="G60" s="26"/>
      <c r="H60" s="27"/>
      <c r="I60" s="91"/>
      <c r="J60" s="290"/>
      <c r="K60" s="41"/>
      <c r="L60" s="19"/>
      <c r="M60" s="20"/>
      <c r="N60" s="21"/>
      <c r="O60" s="259"/>
      <c r="P60" s="265"/>
    </row>
    <row r="61" spans="1:18">
      <c r="A61" s="275"/>
      <c r="B61" s="279"/>
      <c r="C61" s="20" t="s">
        <v>282</v>
      </c>
      <c r="D61" s="71" t="s">
        <v>197</v>
      </c>
      <c r="E61" s="16">
        <v>4</v>
      </c>
      <c r="F61" s="63">
        <v>3</v>
      </c>
      <c r="G61" s="26"/>
      <c r="H61" s="27"/>
      <c r="I61" s="91"/>
      <c r="J61" s="290"/>
      <c r="K61" s="41"/>
      <c r="L61" s="19"/>
      <c r="M61" s="20"/>
      <c r="N61" s="21"/>
      <c r="O61" s="259"/>
      <c r="P61" s="265"/>
    </row>
    <row r="62" spans="1:18">
      <c r="A62" s="275"/>
      <c r="B62" s="279"/>
      <c r="C62" s="20" t="s">
        <v>282</v>
      </c>
      <c r="D62" s="71" t="s">
        <v>331</v>
      </c>
      <c r="E62" s="16">
        <v>4</v>
      </c>
      <c r="F62" s="63">
        <v>3</v>
      </c>
      <c r="G62" s="26"/>
      <c r="H62" s="27"/>
      <c r="I62" s="91"/>
      <c r="J62" s="290"/>
      <c r="K62" s="41"/>
      <c r="L62" s="19"/>
      <c r="M62" s="20"/>
      <c r="N62" s="21"/>
      <c r="O62" s="259"/>
      <c r="P62" s="265"/>
    </row>
    <row r="63" spans="1:18">
      <c r="A63" s="275"/>
      <c r="B63" s="279"/>
      <c r="C63" s="21" t="s">
        <v>282</v>
      </c>
      <c r="D63" s="67" t="s">
        <v>308</v>
      </c>
      <c r="E63" s="23">
        <v>4</v>
      </c>
      <c r="F63" s="24">
        <v>3</v>
      </c>
      <c r="G63" s="26"/>
      <c r="H63" s="27"/>
      <c r="I63" s="77"/>
      <c r="J63" s="290"/>
      <c r="K63" s="26"/>
      <c r="L63" s="27"/>
      <c r="M63" s="20"/>
      <c r="N63" s="21"/>
      <c r="O63" s="259"/>
      <c r="P63" s="265"/>
    </row>
    <row r="64" spans="1:18">
      <c r="A64" s="275"/>
      <c r="B64" s="279"/>
      <c r="C64" s="33" t="s">
        <v>279</v>
      </c>
      <c r="D64" s="34" t="s">
        <v>173</v>
      </c>
      <c r="E64" s="46">
        <v>4</v>
      </c>
      <c r="F64" s="45">
        <v>3</v>
      </c>
      <c r="G64" s="38"/>
      <c r="H64" s="39"/>
      <c r="I64" s="229"/>
      <c r="J64" s="290"/>
      <c r="K64" s="228"/>
      <c r="L64" s="226"/>
      <c r="M64" s="47"/>
      <c r="N64" s="43"/>
      <c r="O64" s="259"/>
      <c r="P64" s="265"/>
    </row>
    <row r="65" spans="1:16">
      <c r="A65" s="275"/>
      <c r="B65" s="281" t="s">
        <v>8</v>
      </c>
      <c r="C65" s="20" t="s">
        <v>279</v>
      </c>
      <c r="D65" s="71" t="s">
        <v>296</v>
      </c>
      <c r="E65" s="28">
        <v>4</v>
      </c>
      <c r="F65" s="66">
        <v>3</v>
      </c>
      <c r="G65" s="30"/>
      <c r="H65" s="31"/>
      <c r="I65" s="30"/>
      <c r="J65" s="290"/>
      <c r="K65" s="30"/>
      <c r="L65" s="31"/>
      <c r="M65" s="32"/>
      <c r="N65" s="32"/>
      <c r="O65" s="259"/>
      <c r="P65" s="265"/>
    </row>
    <row r="66" spans="1:16">
      <c r="A66" s="275"/>
      <c r="B66" s="279"/>
      <c r="C66" s="20" t="s">
        <v>279</v>
      </c>
      <c r="D66" s="67" t="s">
        <v>298</v>
      </c>
      <c r="E66" s="23">
        <v>4</v>
      </c>
      <c r="F66" s="24">
        <v>3</v>
      </c>
      <c r="G66" s="26"/>
      <c r="H66" s="27"/>
      <c r="I66" s="60"/>
      <c r="J66" s="290"/>
      <c r="K66" s="26"/>
      <c r="L66" s="27"/>
      <c r="M66" s="20"/>
      <c r="N66" s="21"/>
      <c r="O66" s="259"/>
      <c r="P66" s="265"/>
    </row>
    <row r="67" spans="1:16">
      <c r="A67" s="275"/>
      <c r="B67" s="279"/>
      <c r="C67" s="21" t="s">
        <v>282</v>
      </c>
      <c r="D67" s="22" t="s">
        <v>199</v>
      </c>
      <c r="E67" s="23">
        <v>4</v>
      </c>
      <c r="F67" s="24">
        <v>3</v>
      </c>
      <c r="G67" s="26"/>
      <c r="H67" s="27"/>
      <c r="I67" s="26"/>
      <c r="J67" s="290"/>
      <c r="K67" s="26"/>
      <c r="L67" s="27"/>
      <c r="M67" s="20"/>
      <c r="N67" s="21"/>
      <c r="O67" s="259"/>
      <c r="P67" s="265"/>
    </row>
    <row r="68" spans="1:16">
      <c r="A68" s="275"/>
      <c r="B68" s="282"/>
      <c r="C68" s="43" t="s">
        <v>282</v>
      </c>
      <c r="D68" s="44" t="s">
        <v>202</v>
      </c>
      <c r="E68" s="35">
        <v>4</v>
      </c>
      <c r="F68" s="36">
        <v>3</v>
      </c>
      <c r="G68" s="38"/>
      <c r="H68" s="39"/>
      <c r="I68" s="201"/>
      <c r="J68" s="290"/>
      <c r="K68" s="38"/>
      <c r="L68" s="39"/>
      <c r="M68" s="40"/>
      <c r="N68" s="33"/>
      <c r="O68" s="259"/>
      <c r="P68" s="265"/>
    </row>
    <row r="69" spans="1:16" ht="16.5" customHeight="1">
      <c r="A69" s="275"/>
      <c r="B69" s="299" t="s">
        <v>103</v>
      </c>
      <c r="C69" s="32" t="s">
        <v>282</v>
      </c>
      <c r="D69" s="62" t="s">
        <v>206</v>
      </c>
      <c r="E69" s="28">
        <v>4</v>
      </c>
      <c r="F69" s="66">
        <v>3</v>
      </c>
      <c r="G69" s="30"/>
      <c r="H69" s="31"/>
      <c r="I69" s="30"/>
      <c r="J69" s="290"/>
      <c r="K69" s="30"/>
      <c r="L69" s="31"/>
      <c r="M69" s="20"/>
      <c r="N69" s="20"/>
      <c r="O69" s="259"/>
      <c r="P69" s="265"/>
    </row>
    <row r="70" spans="1:16" ht="16.5" customHeight="1">
      <c r="A70" s="275"/>
      <c r="B70" s="299"/>
      <c r="C70" s="33" t="s">
        <v>282</v>
      </c>
      <c r="D70" s="34" t="s">
        <v>309</v>
      </c>
      <c r="E70" s="16">
        <v>4</v>
      </c>
      <c r="F70" s="63">
        <v>3</v>
      </c>
      <c r="G70" s="38"/>
      <c r="H70" s="39"/>
      <c r="I70" s="41"/>
      <c r="J70" s="290"/>
      <c r="K70" s="41"/>
      <c r="L70" s="19"/>
      <c r="M70" s="47" t="s">
        <v>343</v>
      </c>
      <c r="N70" s="43"/>
      <c r="O70" s="259"/>
      <c r="P70" s="265"/>
    </row>
    <row r="71" spans="1:16" ht="16.5" customHeight="1">
      <c r="A71" s="275"/>
      <c r="B71" s="281" t="s">
        <v>102</v>
      </c>
      <c r="C71" s="20" t="s">
        <v>282</v>
      </c>
      <c r="D71" s="64" t="s">
        <v>84</v>
      </c>
      <c r="E71" s="28">
        <v>4</v>
      </c>
      <c r="F71" s="66">
        <v>3</v>
      </c>
      <c r="G71" s="30"/>
      <c r="H71" s="31"/>
      <c r="I71" s="30"/>
      <c r="J71" s="290"/>
      <c r="K71" s="30"/>
      <c r="L71" s="31"/>
      <c r="M71" s="32"/>
      <c r="N71" s="32"/>
      <c r="O71" s="259"/>
      <c r="P71" s="265"/>
    </row>
    <row r="72" spans="1:16" ht="16.5" customHeight="1">
      <c r="A72" s="275"/>
      <c r="B72" s="279"/>
      <c r="C72" s="47" t="s">
        <v>282</v>
      </c>
      <c r="D72" s="122" t="s">
        <v>339</v>
      </c>
      <c r="E72" s="23">
        <v>4</v>
      </c>
      <c r="F72" s="24">
        <v>3</v>
      </c>
      <c r="G72" s="26"/>
      <c r="H72" s="27"/>
      <c r="I72" s="26"/>
      <c r="J72" s="290"/>
      <c r="K72" s="26"/>
      <c r="L72" s="27"/>
      <c r="M72" s="21"/>
      <c r="N72" s="21"/>
      <c r="O72" s="259"/>
      <c r="P72" s="265"/>
    </row>
    <row r="73" spans="1:16" ht="16.5" customHeight="1">
      <c r="A73" s="275"/>
      <c r="B73" s="282"/>
      <c r="C73" s="33" t="s">
        <v>283</v>
      </c>
      <c r="D73" s="160" t="s">
        <v>51</v>
      </c>
      <c r="E73" s="35">
        <v>4</v>
      </c>
      <c r="F73" s="36">
        <v>3</v>
      </c>
      <c r="G73" s="38"/>
      <c r="H73" s="39"/>
      <c r="I73" s="38"/>
      <c r="J73" s="290"/>
      <c r="K73" s="38"/>
      <c r="L73" s="39"/>
      <c r="M73" s="33"/>
      <c r="N73" s="33"/>
      <c r="O73" s="259"/>
      <c r="P73" s="265"/>
    </row>
    <row r="74" spans="1:16" ht="16.5" customHeight="1" thickBot="1">
      <c r="A74" s="275"/>
      <c r="B74" s="243" t="s">
        <v>336</v>
      </c>
      <c r="C74" s="20" t="s">
        <v>282</v>
      </c>
      <c r="D74" s="71" t="s">
        <v>99</v>
      </c>
      <c r="E74" s="205">
        <v>3</v>
      </c>
      <c r="F74" s="206">
        <v>3</v>
      </c>
      <c r="G74" s="209"/>
      <c r="H74" s="216"/>
      <c r="I74" s="209"/>
      <c r="J74" s="291"/>
      <c r="K74" s="209"/>
      <c r="L74" s="227"/>
      <c r="M74" s="88"/>
      <c r="N74" s="88"/>
      <c r="O74" s="259"/>
      <c r="P74" s="266"/>
    </row>
    <row r="75" spans="1:16" ht="13.5" customHeight="1">
      <c r="A75" s="273" t="s">
        <v>20</v>
      </c>
      <c r="B75" s="107" t="s">
        <v>6</v>
      </c>
      <c r="C75" s="129" t="s">
        <v>283</v>
      </c>
      <c r="D75" s="130" t="s">
        <v>59</v>
      </c>
      <c r="E75" s="106">
        <v>4</v>
      </c>
      <c r="F75" s="117">
        <v>3</v>
      </c>
      <c r="G75" s="165"/>
      <c r="H75" s="166"/>
      <c r="I75" s="167"/>
      <c r="J75" s="168"/>
      <c r="K75" s="283" t="s">
        <v>318</v>
      </c>
      <c r="L75" s="230"/>
      <c r="M75" s="173"/>
      <c r="N75" s="221"/>
      <c r="O75" s="257">
        <v>33</v>
      </c>
      <c r="P75" s="263">
        <v>33</v>
      </c>
    </row>
    <row r="76" spans="1:16">
      <c r="A76" s="274"/>
      <c r="B76" s="112" t="s">
        <v>304</v>
      </c>
      <c r="C76" s="125" t="s">
        <v>282</v>
      </c>
      <c r="D76" s="131" t="s">
        <v>310</v>
      </c>
      <c r="E76" s="164">
        <v>4</v>
      </c>
      <c r="F76" s="98">
        <v>3</v>
      </c>
      <c r="G76" s="164"/>
      <c r="H76" s="169"/>
      <c r="I76" s="100"/>
      <c r="J76" s="169"/>
      <c r="K76" s="284"/>
      <c r="L76" s="231"/>
      <c r="M76" s="125"/>
      <c r="N76" s="125"/>
      <c r="O76" s="258"/>
      <c r="P76" s="264"/>
    </row>
    <row r="77" spans="1:16">
      <c r="A77" s="274"/>
      <c r="B77" s="109" t="s">
        <v>302</v>
      </c>
      <c r="C77" s="43" t="s">
        <v>282</v>
      </c>
      <c r="D77" s="48" t="s">
        <v>330</v>
      </c>
      <c r="E77" s="164">
        <v>4</v>
      </c>
      <c r="F77" s="170">
        <v>3</v>
      </c>
      <c r="G77" s="164"/>
      <c r="H77" s="169"/>
      <c r="I77" s="164"/>
      <c r="J77" s="169"/>
      <c r="K77" s="284"/>
      <c r="L77" s="140"/>
      <c r="M77" s="125"/>
      <c r="N77" s="125"/>
      <c r="O77" s="258"/>
      <c r="P77" s="264"/>
    </row>
    <row r="78" spans="1:16" ht="15.6" customHeight="1">
      <c r="A78" s="274"/>
      <c r="B78" s="281" t="s">
        <v>271</v>
      </c>
      <c r="C78" s="32" t="s">
        <v>279</v>
      </c>
      <c r="D78" s="62" t="s">
        <v>175</v>
      </c>
      <c r="E78" s="63">
        <v>4</v>
      </c>
      <c r="F78" s="63">
        <v>3</v>
      </c>
      <c r="G78" s="16"/>
      <c r="H78" s="82"/>
      <c r="I78" s="91"/>
      <c r="J78" s="141"/>
      <c r="K78" s="284"/>
      <c r="L78" s="141"/>
      <c r="M78" s="20"/>
      <c r="N78" s="20"/>
      <c r="O78" s="258"/>
      <c r="P78" s="264"/>
    </row>
    <row r="79" spans="1:16">
      <c r="A79" s="274"/>
      <c r="B79" s="279"/>
      <c r="C79" s="20" t="s">
        <v>279</v>
      </c>
      <c r="D79" s="71" t="s">
        <v>174</v>
      </c>
      <c r="E79" s="16">
        <v>4</v>
      </c>
      <c r="F79" s="63">
        <v>3</v>
      </c>
      <c r="G79" s="16"/>
      <c r="H79" s="82"/>
      <c r="I79" s="91"/>
      <c r="J79" s="141"/>
      <c r="K79" s="284"/>
      <c r="L79" s="141"/>
      <c r="M79" s="20"/>
      <c r="N79" s="21"/>
      <c r="O79" s="258"/>
      <c r="P79" s="264"/>
    </row>
    <row r="80" spans="1:16">
      <c r="A80" s="274"/>
      <c r="B80" s="279"/>
      <c r="C80" s="20" t="s">
        <v>279</v>
      </c>
      <c r="D80" s="71" t="s">
        <v>65</v>
      </c>
      <c r="E80" s="16">
        <v>4</v>
      </c>
      <c r="F80" s="63">
        <v>3</v>
      </c>
      <c r="G80" s="16"/>
      <c r="H80" s="82"/>
      <c r="I80" s="91"/>
      <c r="J80" s="141"/>
      <c r="K80" s="284"/>
      <c r="L80" s="141"/>
      <c r="M80" s="20"/>
      <c r="N80" s="21"/>
      <c r="O80" s="258"/>
      <c r="P80" s="264"/>
    </row>
    <row r="81" spans="1:16">
      <c r="A81" s="274"/>
      <c r="B81" s="279"/>
      <c r="C81" s="20" t="s">
        <v>282</v>
      </c>
      <c r="D81" s="71" t="s">
        <v>331</v>
      </c>
      <c r="E81" s="16">
        <v>4</v>
      </c>
      <c r="F81" s="63">
        <v>3</v>
      </c>
      <c r="G81" s="16"/>
      <c r="H81" s="82"/>
      <c r="I81" s="91"/>
      <c r="J81" s="141"/>
      <c r="K81" s="284"/>
      <c r="L81" s="141"/>
      <c r="M81" s="20"/>
      <c r="N81" s="21"/>
      <c r="O81" s="258"/>
      <c r="P81" s="264"/>
    </row>
    <row r="82" spans="1:16">
      <c r="A82" s="274"/>
      <c r="B82" s="279"/>
      <c r="C82" s="20" t="s">
        <v>283</v>
      </c>
      <c r="D82" s="71" t="s">
        <v>236</v>
      </c>
      <c r="E82" s="16">
        <v>4</v>
      </c>
      <c r="F82" s="63">
        <v>3</v>
      </c>
      <c r="G82" s="16"/>
      <c r="H82" s="82"/>
      <c r="I82" s="91"/>
      <c r="J82" s="141"/>
      <c r="K82" s="284"/>
      <c r="L82" s="141"/>
      <c r="M82" s="20"/>
      <c r="N82" s="21"/>
      <c r="O82" s="258"/>
      <c r="P82" s="264"/>
    </row>
    <row r="83" spans="1:16">
      <c r="A83" s="274"/>
      <c r="B83" s="279"/>
      <c r="C83" s="21" t="s">
        <v>283</v>
      </c>
      <c r="D83" s="67" t="s">
        <v>233</v>
      </c>
      <c r="E83" s="23">
        <v>4</v>
      </c>
      <c r="F83" s="24">
        <v>3</v>
      </c>
      <c r="G83" s="23"/>
      <c r="H83" s="76"/>
      <c r="I83" s="77"/>
      <c r="J83" s="142"/>
      <c r="K83" s="284"/>
      <c r="L83" s="142"/>
      <c r="M83" s="20"/>
      <c r="N83" s="21"/>
      <c r="O83" s="258"/>
      <c r="P83" s="264"/>
    </row>
    <row r="84" spans="1:16">
      <c r="A84" s="274"/>
      <c r="B84" s="282"/>
      <c r="C84" s="33" t="s">
        <v>283</v>
      </c>
      <c r="D84" s="34" t="s">
        <v>234</v>
      </c>
      <c r="E84" s="35">
        <v>4</v>
      </c>
      <c r="F84" s="36">
        <v>3</v>
      </c>
      <c r="G84" s="35"/>
      <c r="H84" s="78"/>
      <c r="I84" s="94"/>
      <c r="J84" s="143"/>
      <c r="K84" s="284"/>
      <c r="L84" s="143"/>
      <c r="M84" s="47"/>
      <c r="N84" s="43"/>
      <c r="O84" s="258"/>
      <c r="P84" s="264"/>
    </row>
    <row r="85" spans="1:16">
      <c r="A85" s="274"/>
      <c r="B85" s="281" t="s">
        <v>8</v>
      </c>
      <c r="C85" s="21" t="s">
        <v>282</v>
      </c>
      <c r="D85" s="22" t="s">
        <v>69</v>
      </c>
      <c r="E85" s="16">
        <v>4</v>
      </c>
      <c r="F85" s="63">
        <v>3</v>
      </c>
      <c r="G85" s="16"/>
      <c r="H85" s="82"/>
      <c r="I85" s="95"/>
      <c r="J85" s="144"/>
      <c r="K85" s="284"/>
      <c r="L85" s="144"/>
      <c r="M85" s="32"/>
      <c r="N85" s="32"/>
      <c r="O85" s="258"/>
      <c r="P85" s="264"/>
    </row>
    <row r="86" spans="1:16">
      <c r="A86" s="274"/>
      <c r="B86" s="279"/>
      <c r="C86" s="21" t="s">
        <v>282</v>
      </c>
      <c r="D86" s="22" t="s">
        <v>67</v>
      </c>
      <c r="E86" s="23">
        <v>4</v>
      </c>
      <c r="F86" s="24">
        <v>3</v>
      </c>
      <c r="G86" s="16"/>
      <c r="H86" s="82"/>
      <c r="I86" s="95"/>
      <c r="J86" s="144"/>
      <c r="K86" s="284"/>
      <c r="L86" s="144"/>
      <c r="M86" s="20"/>
      <c r="N86" s="21"/>
      <c r="O86" s="258"/>
      <c r="P86" s="264"/>
    </row>
    <row r="87" spans="1:16">
      <c r="A87" s="274"/>
      <c r="B87" s="279"/>
      <c r="C87" s="21" t="s">
        <v>282</v>
      </c>
      <c r="D87" s="22" t="s">
        <v>68</v>
      </c>
      <c r="E87" s="23">
        <v>4</v>
      </c>
      <c r="F87" s="24">
        <v>3</v>
      </c>
      <c r="G87" s="23"/>
      <c r="H87" s="76"/>
      <c r="I87" s="60"/>
      <c r="J87" s="145"/>
      <c r="K87" s="284"/>
      <c r="L87" s="145"/>
      <c r="M87" s="20"/>
      <c r="N87" s="21"/>
      <c r="O87" s="258"/>
      <c r="P87" s="264"/>
    </row>
    <row r="88" spans="1:16">
      <c r="A88" s="274"/>
      <c r="B88" s="279"/>
      <c r="C88" s="21" t="s">
        <v>282</v>
      </c>
      <c r="D88" s="22" t="s">
        <v>200</v>
      </c>
      <c r="E88" s="23">
        <v>4</v>
      </c>
      <c r="F88" s="24">
        <v>3</v>
      </c>
      <c r="G88" s="23"/>
      <c r="H88" s="76"/>
      <c r="I88" s="60"/>
      <c r="J88" s="145"/>
      <c r="K88" s="284"/>
      <c r="L88" s="145"/>
      <c r="M88" s="20"/>
      <c r="N88" s="21"/>
      <c r="O88" s="258"/>
      <c r="P88" s="264"/>
    </row>
    <row r="89" spans="1:16">
      <c r="A89" s="274"/>
      <c r="B89" s="279"/>
      <c r="C89" s="21" t="s">
        <v>282</v>
      </c>
      <c r="D89" s="22" t="s">
        <v>201</v>
      </c>
      <c r="E89" s="23">
        <v>4</v>
      </c>
      <c r="F89" s="24">
        <v>3</v>
      </c>
      <c r="G89" s="84"/>
      <c r="H89" s="25"/>
      <c r="I89" s="26"/>
      <c r="J89" s="146"/>
      <c r="K89" s="284"/>
      <c r="L89" s="146"/>
      <c r="M89" s="20"/>
      <c r="N89" s="21"/>
      <c r="O89" s="258"/>
      <c r="P89" s="264"/>
    </row>
    <row r="90" spans="1:16">
      <c r="A90" s="274"/>
      <c r="B90" s="282"/>
      <c r="C90" s="43" t="s">
        <v>282</v>
      </c>
      <c r="D90" s="44" t="s">
        <v>203</v>
      </c>
      <c r="E90" s="35">
        <v>4</v>
      </c>
      <c r="F90" s="36">
        <v>3</v>
      </c>
      <c r="G90" s="85"/>
      <c r="H90" s="37"/>
      <c r="I90" s="38"/>
      <c r="J90" s="140"/>
      <c r="K90" s="284"/>
      <c r="L90" s="140"/>
      <c r="M90" s="40"/>
      <c r="N90" s="33"/>
      <c r="O90" s="258"/>
      <c r="P90" s="264"/>
    </row>
    <row r="91" spans="1:16" ht="13.5" customHeight="1">
      <c r="A91" s="274"/>
      <c r="B91" s="120" t="s">
        <v>103</v>
      </c>
      <c r="C91" s="125" t="s">
        <v>283</v>
      </c>
      <c r="D91" s="131" t="s">
        <v>243</v>
      </c>
      <c r="E91" s="28">
        <v>4</v>
      </c>
      <c r="F91" s="66">
        <v>3</v>
      </c>
      <c r="G91" s="28"/>
      <c r="H91" s="29"/>
      <c r="I91" s="41"/>
      <c r="J91" s="147"/>
      <c r="K91" s="284"/>
      <c r="L91" s="147"/>
      <c r="M91" s="20"/>
      <c r="N91" s="47"/>
      <c r="O91" s="258"/>
      <c r="P91" s="264"/>
    </row>
    <row r="92" spans="1:16">
      <c r="A92" s="274"/>
      <c r="B92" s="299" t="s">
        <v>102</v>
      </c>
      <c r="C92" s="32" t="s">
        <v>283</v>
      </c>
      <c r="D92" s="62" t="s">
        <v>86</v>
      </c>
      <c r="E92" s="28">
        <v>4</v>
      </c>
      <c r="F92" s="66">
        <v>3</v>
      </c>
      <c r="G92" s="28"/>
      <c r="H92" s="29"/>
      <c r="I92" s="30"/>
      <c r="J92" s="148"/>
      <c r="K92" s="284"/>
      <c r="L92" s="148"/>
      <c r="M92" s="32"/>
      <c r="N92" s="32"/>
      <c r="O92" s="258"/>
      <c r="P92" s="264"/>
    </row>
    <row r="93" spans="1:16">
      <c r="A93" s="274"/>
      <c r="B93" s="299"/>
      <c r="C93" s="47" t="s">
        <v>283</v>
      </c>
      <c r="D93" s="121" t="s">
        <v>338</v>
      </c>
      <c r="E93" s="49">
        <v>4</v>
      </c>
      <c r="F93" s="245">
        <v>3</v>
      </c>
      <c r="G93" s="49"/>
      <c r="H93" s="115"/>
      <c r="I93" s="114"/>
      <c r="J93" s="244"/>
      <c r="K93" s="284"/>
      <c r="L93" s="244"/>
      <c r="M93" s="21"/>
      <c r="N93" s="47"/>
      <c r="O93" s="258"/>
      <c r="P93" s="264"/>
    </row>
    <row r="94" spans="1:16">
      <c r="A94" s="274"/>
      <c r="B94" s="299"/>
      <c r="C94" s="33" t="s">
        <v>283</v>
      </c>
      <c r="D94" s="34" t="s">
        <v>51</v>
      </c>
      <c r="E94" s="35">
        <v>4</v>
      </c>
      <c r="F94" s="36">
        <v>3</v>
      </c>
      <c r="G94" s="35"/>
      <c r="H94" s="37"/>
      <c r="I94" s="38"/>
      <c r="J94" s="140"/>
      <c r="K94" s="284"/>
      <c r="L94" s="140"/>
      <c r="M94" s="40"/>
      <c r="N94" s="33"/>
      <c r="O94" s="258"/>
      <c r="P94" s="264"/>
    </row>
    <row r="95" spans="1:16">
      <c r="A95" s="274"/>
      <c r="B95" s="177" t="s">
        <v>333</v>
      </c>
      <c r="C95" s="47" t="s">
        <v>282</v>
      </c>
      <c r="D95" s="121" t="s">
        <v>334</v>
      </c>
      <c r="E95" s="49">
        <v>4</v>
      </c>
      <c r="F95" s="176">
        <v>3</v>
      </c>
      <c r="G95" s="49"/>
      <c r="H95" s="115"/>
      <c r="I95" s="114"/>
      <c r="J95" s="178"/>
      <c r="K95" s="285"/>
      <c r="L95" s="232"/>
      <c r="M95" s="47"/>
      <c r="N95" s="125"/>
      <c r="O95" s="258"/>
      <c r="P95" s="264"/>
    </row>
    <row r="96" spans="1:16" ht="15.6" customHeight="1">
      <c r="A96" s="274"/>
      <c r="B96" s="281" t="s">
        <v>10</v>
      </c>
      <c r="C96" s="32" t="s">
        <v>282</v>
      </c>
      <c r="D96" s="62" t="s">
        <v>70</v>
      </c>
      <c r="E96" s="28">
        <v>3</v>
      </c>
      <c r="F96" s="66">
        <v>2</v>
      </c>
      <c r="G96" s="28"/>
      <c r="H96" s="29"/>
      <c r="I96" s="30"/>
      <c r="J96" s="148"/>
      <c r="K96" s="294" t="s">
        <v>321</v>
      </c>
      <c r="L96" s="148"/>
      <c r="M96" s="32"/>
      <c r="N96" s="32"/>
      <c r="O96" s="258"/>
      <c r="P96" s="264"/>
    </row>
    <row r="97" spans="1:16" ht="14.25" thickBot="1">
      <c r="A97" s="274"/>
      <c r="B97" s="280"/>
      <c r="C97" s="90" t="s">
        <v>282</v>
      </c>
      <c r="D97" s="139" t="s">
        <v>313</v>
      </c>
      <c r="E97" s="205">
        <v>3</v>
      </c>
      <c r="F97" s="206">
        <v>2</v>
      </c>
      <c r="G97" s="205"/>
      <c r="H97" s="207"/>
      <c r="I97" s="209"/>
      <c r="J97" s="217"/>
      <c r="K97" s="295"/>
      <c r="L97" s="217"/>
      <c r="M97" s="90"/>
      <c r="N97" s="88"/>
      <c r="O97" s="258"/>
      <c r="P97" s="264"/>
    </row>
    <row r="98" spans="1:16" ht="15.6" customHeight="1">
      <c r="A98" s="275"/>
      <c r="B98" s="296" t="s">
        <v>271</v>
      </c>
      <c r="C98" s="20" t="s">
        <v>283</v>
      </c>
      <c r="D98" s="71" t="s">
        <v>66</v>
      </c>
      <c r="E98" s="63">
        <v>4</v>
      </c>
      <c r="F98" s="63">
        <v>3</v>
      </c>
      <c r="G98" s="93"/>
      <c r="H98" s="157"/>
      <c r="I98" s="158"/>
      <c r="J98" s="159"/>
      <c r="K98" s="233"/>
      <c r="L98" s="271" t="s">
        <v>322</v>
      </c>
      <c r="M98" s="133"/>
      <c r="N98" s="20"/>
      <c r="O98" s="261"/>
      <c r="P98" s="267"/>
    </row>
    <row r="99" spans="1:16">
      <c r="A99" s="275"/>
      <c r="B99" s="279"/>
      <c r="C99" s="20" t="s">
        <v>283</v>
      </c>
      <c r="D99" s="71" t="s">
        <v>233</v>
      </c>
      <c r="E99" s="16">
        <v>4</v>
      </c>
      <c r="F99" s="63">
        <v>3</v>
      </c>
      <c r="G99" s="16"/>
      <c r="H99" s="82"/>
      <c r="I99" s="91"/>
      <c r="J99" s="141"/>
      <c r="K99" s="234"/>
      <c r="L99" s="272"/>
      <c r="M99" s="133"/>
      <c r="N99" s="21"/>
      <c r="O99" s="261"/>
      <c r="P99" s="267"/>
    </row>
    <row r="100" spans="1:16">
      <c r="A100" s="275"/>
      <c r="B100" s="279"/>
      <c r="C100" s="21" t="s">
        <v>283</v>
      </c>
      <c r="D100" s="67" t="s">
        <v>237</v>
      </c>
      <c r="E100" s="23">
        <v>4</v>
      </c>
      <c r="F100" s="24">
        <v>3</v>
      </c>
      <c r="G100" s="23"/>
      <c r="H100" s="76"/>
      <c r="I100" s="77"/>
      <c r="J100" s="142"/>
      <c r="K100" s="235"/>
      <c r="L100" s="272"/>
      <c r="M100" s="133"/>
      <c r="N100" s="21"/>
      <c r="O100" s="261"/>
      <c r="P100" s="267"/>
    </row>
    <row r="101" spans="1:16">
      <c r="A101" s="275"/>
      <c r="B101" s="282"/>
      <c r="C101" s="33" t="s">
        <v>283</v>
      </c>
      <c r="D101" s="34" t="s">
        <v>234</v>
      </c>
      <c r="E101" s="35">
        <v>4</v>
      </c>
      <c r="F101" s="36">
        <v>3</v>
      </c>
      <c r="G101" s="35"/>
      <c r="H101" s="78"/>
      <c r="I101" s="94"/>
      <c r="J101" s="143"/>
      <c r="K101" s="236"/>
      <c r="L101" s="272"/>
      <c r="M101" s="134"/>
      <c r="N101" s="43"/>
      <c r="O101" s="261"/>
      <c r="P101" s="267"/>
    </row>
    <row r="102" spans="1:16">
      <c r="A102" s="275"/>
      <c r="B102" s="281" t="s">
        <v>8</v>
      </c>
      <c r="C102" s="20" t="s">
        <v>283</v>
      </c>
      <c r="D102" s="64" t="s">
        <v>238</v>
      </c>
      <c r="E102" s="16">
        <v>4</v>
      </c>
      <c r="F102" s="63">
        <v>3</v>
      </c>
      <c r="G102" s="16"/>
      <c r="H102" s="82"/>
      <c r="I102" s="16"/>
      <c r="J102" s="149"/>
      <c r="K102" s="237"/>
      <c r="L102" s="272"/>
      <c r="M102" s="135"/>
      <c r="N102" s="32"/>
      <c r="O102" s="261"/>
      <c r="P102" s="267"/>
    </row>
    <row r="103" spans="1:16">
      <c r="A103" s="275"/>
      <c r="B103" s="279"/>
      <c r="C103" s="21" t="s">
        <v>283</v>
      </c>
      <c r="D103" s="22" t="s">
        <v>239</v>
      </c>
      <c r="E103" s="23">
        <v>4</v>
      </c>
      <c r="F103" s="24">
        <v>3</v>
      </c>
      <c r="G103" s="23"/>
      <c r="H103" s="76"/>
      <c r="I103" s="23"/>
      <c r="J103" s="150"/>
      <c r="K103" s="238"/>
      <c r="L103" s="272"/>
      <c r="M103" s="133"/>
      <c r="N103" s="21"/>
      <c r="O103" s="261"/>
      <c r="P103" s="267"/>
    </row>
    <row r="104" spans="1:16">
      <c r="A104" s="275"/>
      <c r="B104" s="282"/>
      <c r="C104" s="33" t="s">
        <v>283</v>
      </c>
      <c r="D104" s="34" t="s">
        <v>240</v>
      </c>
      <c r="E104" s="35">
        <v>4</v>
      </c>
      <c r="F104" s="36">
        <v>3</v>
      </c>
      <c r="G104" s="85"/>
      <c r="H104" s="37"/>
      <c r="I104" s="85"/>
      <c r="J104" s="151"/>
      <c r="K104" s="239"/>
      <c r="L104" s="272"/>
      <c r="M104" s="136"/>
      <c r="N104" s="33"/>
      <c r="O104" s="261"/>
      <c r="P104" s="267"/>
    </row>
    <row r="105" spans="1:16">
      <c r="A105" s="275"/>
      <c r="B105" s="281" t="s">
        <v>102</v>
      </c>
      <c r="C105" s="20" t="s">
        <v>282</v>
      </c>
      <c r="D105" s="64" t="s">
        <v>341</v>
      </c>
      <c r="E105" s="28">
        <v>4</v>
      </c>
      <c r="F105" s="66">
        <v>3</v>
      </c>
      <c r="G105" s="74"/>
      <c r="H105" s="171"/>
      <c r="I105" s="74"/>
      <c r="J105" s="171"/>
      <c r="K105" s="240"/>
      <c r="L105" s="272"/>
      <c r="M105" s="135" t="s">
        <v>343</v>
      </c>
      <c r="N105" s="20"/>
      <c r="O105" s="261"/>
      <c r="P105" s="267"/>
    </row>
    <row r="106" spans="1:16">
      <c r="A106" s="275"/>
      <c r="B106" s="279"/>
      <c r="C106" s="20" t="s">
        <v>282</v>
      </c>
      <c r="D106" s="64" t="s">
        <v>340</v>
      </c>
      <c r="E106" s="49">
        <v>4</v>
      </c>
      <c r="F106" s="245">
        <v>3</v>
      </c>
      <c r="G106" s="77"/>
      <c r="H106" s="246"/>
      <c r="I106" s="77"/>
      <c r="J106" s="246"/>
      <c r="K106" s="234"/>
      <c r="L106" s="272"/>
      <c r="M106" s="133"/>
      <c r="N106" s="20"/>
      <c r="O106" s="261"/>
      <c r="P106" s="267"/>
    </row>
    <row r="107" spans="1:16">
      <c r="A107" s="275"/>
      <c r="B107" s="279"/>
      <c r="C107" s="20" t="s">
        <v>282</v>
      </c>
      <c r="D107" s="64" t="s">
        <v>50</v>
      </c>
      <c r="E107" s="49">
        <v>4</v>
      </c>
      <c r="F107" s="176">
        <v>3</v>
      </c>
      <c r="G107" s="23"/>
      <c r="H107" s="76"/>
      <c r="I107" s="23"/>
      <c r="J107" s="150"/>
      <c r="K107" s="238"/>
      <c r="L107" s="272"/>
      <c r="M107" s="133"/>
      <c r="N107" s="21"/>
      <c r="O107" s="261"/>
      <c r="P107" s="267"/>
    </row>
    <row r="108" spans="1:16" ht="13.5" customHeight="1">
      <c r="A108" s="275"/>
      <c r="B108" s="281" t="s">
        <v>314</v>
      </c>
      <c r="C108" s="32" t="s">
        <v>282</v>
      </c>
      <c r="D108" s="62" t="s">
        <v>89</v>
      </c>
      <c r="E108" s="66">
        <v>4</v>
      </c>
      <c r="F108" s="66">
        <v>3</v>
      </c>
      <c r="G108" s="74"/>
      <c r="H108" s="182"/>
      <c r="I108" s="74"/>
      <c r="J108" s="180"/>
      <c r="K108" s="240"/>
      <c r="L108" s="272"/>
      <c r="M108" s="133"/>
      <c r="N108" s="21"/>
      <c r="O108" s="261"/>
      <c r="P108" s="267"/>
    </row>
    <row r="109" spans="1:16" ht="13.5" customHeight="1">
      <c r="A109" s="275"/>
      <c r="B109" s="279"/>
      <c r="C109" s="33" t="s">
        <v>282</v>
      </c>
      <c r="D109" s="34" t="s">
        <v>334</v>
      </c>
      <c r="E109" s="36">
        <v>4</v>
      </c>
      <c r="F109" s="36">
        <v>3</v>
      </c>
      <c r="G109" s="38"/>
      <c r="H109" s="183"/>
      <c r="I109" s="38"/>
      <c r="J109" s="181"/>
      <c r="K109" s="241"/>
      <c r="L109" s="248"/>
      <c r="M109" s="133"/>
      <c r="N109" s="43"/>
      <c r="O109" s="261"/>
      <c r="P109" s="267"/>
    </row>
    <row r="110" spans="1:16">
      <c r="A110" s="275"/>
      <c r="B110" s="279"/>
      <c r="C110" s="123" t="s">
        <v>283</v>
      </c>
      <c r="D110" s="124" t="s">
        <v>332</v>
      </c>
      <c r="E110" s="196">
        <v>3</v>
      </c>
      <c r="F110" s="172">
        <v>2</v>
      </c>
      <c r="G110" s="74"/>
      <c r="H110" s="182"/>
      <c r="I110" s="74"/>
      <c r="J110" s="180"/>
      <c r="K110" s="240"/>
      <c r="L110" s="247" t="s">
        <v>321</v>
      </c>
      <c r="M110" s="32"/>
      <c r="N110" s="32"/>
      <c r="O110" s="261"/>
      <c r="P110" s="267"/>
    </row>
    <row r="111" spans="1:16" ht="15" customHeight="1">
      <c r="A111" s="275"/>
      <c r="B111" s="282"/>
      <c r="C111" s="33" t="s">
        <v>283</v>
      </c>
      <c r="D111" s="34" t="s">
        <v>323</v>
      </c>
      <c r="E111" s="197">
        <v>3</v>
      </c>
      <c r="F111" s="179">
        <v>2</v>
      </c>
      <c r="G111" s="38"/>
      <c r="H111" s="183"/>
      <c r="I111" s="38"/>
      <c r="J111" s="181"/>
      <c r="K111" s="241"/>
      <c r="L111" s="248"/>
      <c r="M111" s="33" t="s">
        <v>325</v>
      </c>
      <c r="N111" s="33"/>
      <c r="O111" s="261"/>
      <c r="P111" s="267"/>
    </row>
    <row r="112" spans="1:16">
      <c r="A112" s="275"/>
      <c r="B112" s="279" t="s">
        <v>320</v>
      </c>
      <c r="C112" s="20" t="s">
        <v>282</v>
      </c>
      <c r="D112" s="161" t="s">
        <v>72</v>
      </c>
      <c r="E112" s="196">
        <v>3</v>
      </c>
      <c r="F112" s="172">
        <v>2</v>
      </c>
      <c r="G112" s="91"/>
      <c r="H112" s="141"/>
      <c r="I112" s="91"/>
      <c r="J112" s="141"/>
      <c r="K112" s="234"/>
      <c r="L112" s="272" t="s">
        <v>321</v>
      </c>
      <c r="M112" s="20"/>
      <c r="N112" s="20"/>
      <c r="O112" s="261"/>
      <c r="P112" s="267"/>
    </row>
    <row r="113" spans="1:17" ht="14.25" thickBot="1">
      <c r="A113" s="276"/>
      <c r="B113" s="280"/>
      <c r="C113" s="21" t="s">
        <v>282</v>
      </c>
      <c r="D113" s="69" t="s">
        <v>46</v>
      </c>
      <c r="E113" s="119">
        <v>3</v>
      </c>
      <c r="F113" s="219">
        <v>2</v>
      </c>
      <c r="G113" s="163"/>
      <c r="H113" s="116"/>
      <c r="I113" s="163"/>
      <c r="J113" s="116"/>
      <c r="K113" s="242"/>
      <c r="L113" s="354"/>
      <c r="M113" s="88"/>
      <c r="N113" s="88"/>
      <c r="O113" s="262"/>
      <c r="P113" s="268"/>
    </row>
    <row r="114" spans="1:17" ht="17.25" customHeight="1">
      <c r="A114" s="344" t="s">
        <v>272</v>
      </c>
      <c r="B114" s="345"/>
      <c r="C114" s="345"/>
      <c r="D114" s="345"/>
      <c r="E114" s="346"/>
      <c r="F114" s="105"/>
      <c r="G114" s="55">
        <f>SUM(G6:G113)</f>
        <v>29</v>
      </c>
      <c r="H114" s="56">
        <f>SUM(H6:H113)</f>
        <v>29</v>
      </c>
      <c r="I114" s="167">
        <f>SUM(I6:I113)+3+8+4</f>
        <v>29</v>
      </c>
      <c r="J114" s="220">
        <f>SUM(J6:J113)+3+8+4</f>
        <v>29</v>
      </c>
      <c r="K114" s="167">
        <v>29</v>
      </c>
      <c r="L114" s="220">
        <v>29</v>
      </c>
      <c r="M114" s="96"/>
      <c r="N114" s="53"/>
      <c r="O114" s="53">
        <f>SUM(G114:L114)</f>
        <v>174</v>
      </c>
      <c r="P114" s="97">
        <v>174</v>
      </c>
      <c r="Q114" s="1"/>
    </row>
    <row r="115" spans="1:17">
      <c r="A115" s="347" t="s">
        <v>5</v>
      </c>
      <c r="B115" s="348"/>
      <c r="C115" s="348"/>
      <c r="D115" s="348"/>
      <c r="E115" s="349"/>
      <c r="F115" s="98">
        <v>18</v>
      </c>
      <c r="G115" s="49">
        <v>3</v>
      </c>
      <c r="H115" s="51">
        <v>3</v>
      </c>
      <c r="I115" s="50">
        <v>3</v>
      </c>
      <c r="J115" s="51">
        <v>3</v>
      </c>
      <c r="K115" s="50">
        <v>3</v>
      </c>
      <c r="L115" s="52">
        <v>3</v>
      </c>
      <c r="M115" s="65"/>
      <c r="N115" s="49"/>
      <c r="O115" s="49">
        <f>SUM(G115:L115)</f>
        <v>18</v>
      </c>
      <c r="P115" s="99">
        <v>18</v>
      </c>
    </row>
    <row r="116" spans="1:17" ht="15" customHeight="1">
      <c r="A116" s="292" t="s">
        <v>25</v>
      </c>
      <c r="B116" s="343"/>
      <c r="C116" s="343"/>
      <c r="D116" s="343"/>
      <c r="E116" s="343"/>
      <c r="F116" s="325"/>
      <c r="G116" s="100">
        <f t="shared" ref="G116:L116" si="0">SUM(G114:G115)</f>
        <v>32</v>
      </c>
      <c r="H116" s="101">
        <f t="shared" si="0"/>
        <v>32</v>
      </c>
      <c r="I116" s="100">
        <f t="shared" si="0"/>
        <v>32</v>
      </c>
      <c r="J116" s="101">
        <f t="shared" si="0"/>
        <v>32</v>
      </c>
      <c r="K116" s="100">
        <f t="shared" si="0"/>
        <v>32</v>
      </c>
      <c r="L116" s="101">
        <f t="shared" si="0"/>
        <v>32</v>
      </c>
      <c r="M116" s="98"/>
      <c r="N116" s="175"/>
      <c r="O116" s="253">
        <f>SUM(G116:M116)</f>
        <v>192</v>
      </c>
      <c r="P116" s="254"/>
    </row>
    <row r="117" spans="1:17" ht="15" customHeight="1">
      <c r="A117" s="347" t="s">
        <v>273</v>
      </c>
      <c r="B117" s="348"/>
      <c r="C117" s="348"/>
      <c r="D117" s="348"/>
      <c r="E117" s="348"/>
      <c r="F117" s="349"/>
      <c r="G117" s="102">
        <v>9</v>
      </c>
      <c r="H117" s="101">
        <v>9</v>
      </c>
      <c r="I117" s="100">
        <v>9</v>
      </c>
      <c r="J117" s="101">
        <v>9</v>
      </c>
      <c r="K117" s="100">
        <v>10</v>
      </c>
      <c r="L117" s="103">
        <v>10</v>
      </c>
      <c r="M117" s="98"/>
      <c r="N117" s="175"/>
      <c r="O117" s="255"/>
      <c r="P117" s="256"/>
    </row>
    <row r="118" spans="1:17" ht="17.25" customHeight="1" thickBot="1">
      <c r="A118" s="350" t="s">
        <v>26</v>
      </c>
      <c r="B118" s="351"/>
      <c r="C118" s="351"/>
      <c r="D118" s="351"/>
      <c r="E118" s="351"/>
      <c r="F118" s="352"/>
      <c r="G118" s="353">
        <f>SUM(G116:H116)</f>
        <v>64</v>
      </c>
      <c r="H118" s="352"/>
      <c r="I118" s="353">
        <f>SUM(I116:J116)</f>
        <v>64</v>
      </c>
      <c r="J118" s="352"/>
      <c r="K118" s="353">
        <f>SUM(K116:L116)</f>
        <v>64</v>
      </c>
      <c r="L118" s="352"/>
      <c r="M118" s="104"/>
      <c r="N118" s="174"/>
      <c r="O118" s="251">
        <f>SUM(G118:M118)</f>
        <v>192</v>
      </c>
      <c r="P118" s="252"/>
    </row>
    <row r="119" spans="1:17" ht="27.6" customHeight="1">
      <c r="A119" s="334" t="s">
        <v>342</v>
      </c>
      <c r="B119" s="335"/>
      <c r="C119" s="335"/>
      <c r="D119" s="335"/>
      <c r="E119" s="335"/>
      <c r="F119" s="335"/>
      <c r="G119" s="335"/>
      <c r="H119" s="335"/>
      <c r="I119" s="335"/>
      <c r="J119" s="335"/>
      <c r="K119" s="335"/>
      <c r="L119" s="335"/>
      <c r="M119" s="335"/>
      <c r="N119" s="335"/>
      <c r="O119" s="335"/>
      <c r="P119" s="336"/>
    </row>
    <row r="120" spans="1:17" ht="27.6" customHeight="1">
      <c r="A120" s="337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9"/>
    </row>
    <row r="121" spans="1:17" ht="27.6" customHeight="1">
      <c r="A121" s="337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9"/>
    </row>
    <row r="122" spans="1:17" ht="27.6" customHeight="1">
      <c r="A122" s="337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9"/>
    </row>
    <row r="123" spans="1:17" ht="27.6" customHeight="1">
      <c r="A123" s="337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9"/>
    </row>
    <row r="124" spans="1:17" ht="27.6" customHeight="1">
      <c r="A124" s="337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9"/>
    </row>
    <row r="125" spans="1:17" ht="13.15" customHeight="1" thickBot="1">
      <c r="A125" s="340"/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2"/>
    </row>
  </sheetData>
  <mergeCells count="88">
    <mergeCell ref="A119:P125"/>
    <mergeCell ref="B92:B94"/>
    <mergeCell ref="B59:B64"/>
    <mergeCell ref="B65:B68"/>
    <mergeCell ref="A116:F116"/>
    <mergeCell ref="A114:E114"/>
    <mergeCell ref="A115:E115"/>
    <mergeCell ref="A117:F117"/>
    <mergeCell ref="A118:F118"/>
    <mergeCell ref="G118:H118"/>
    <mergeCell ref="I118:J118"/>
    <mergeCell ref="B78:B84"/>
    <mergeCell ref="B96:B97"/>
    <mergeCell ref="B85:B90"/>
    <mergeCell ref="L112:L113"/>
    <mergeCell ref="K118:L118"/>
    <mergeCell ref="P6:P11"/>
    <mergeCell ref="D3:D5"/>
    <mergeCell ref="O3:O5"/>
    <mergeCell ref="I4:I5"/>
    <mergeCell ref="O6:O11"/>
    <mergeCell ref="L4:L5"/>
    <mergeCell ref="P12:P17"/>
    <mergeCell ref="B18:B23"/>
    <mergeCell ref="P28:P31"/>
    <mergeCell ref="B32:B37"/>
    <mergeCell ref="P32:P37"/>
    <mergeCell ref="O32:O37"/>
    <mergeCell ref="O12:O17"/>
    <mergeCell ref="O18:O23"/>
    <mergeCell ref="O24:O25"/>
    <mergeCell ref="O26:O27"/>
    <mergeCell ref="B24:B27"/>
    <mergeCell ref="P26:P27"/>
    <mergeCell ref="P18:P23"/>
    <mergeCell ref="B12:B17"/>
    <mergeCell ref="P24:P25"/>
    <mergeCell ref="O28:O31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J4:J5"/>
    <mergeCell ref="K4:K5"/>
    <mergeCell ref="K2:P2"/>
    <mergeCell ref="A2:E2"/>
    <mergeCell ref="B69:B70"/>
    <mergeCell ref="A41:A74"/>
    <mergeCell ref="B49:B50"/>
    <mergeCell ref="B44:B46"/>
    <mergeCell ref="B47:B48"/>
    <mergeCell ref="B38:B39"/>
    <mergeCell ref="B51:B53"/>
    <mergeCell ref="A6:A40"/>
    <mergeCell ref="B6:B11"/>
    <mergeCell ref="A75:A113"/>
    <mergeCell ref="B28:B31"/>
    <mergeCell ref="B112:B113"/>
    <mergeCell ref="B102:B104"/>
    <mergeCell ref="K75:K95"/>
    <mergeCell ref="I41:I54"/>
    <mergeCell ref="J55:J74"/>
    <mergeCell ref="B56:B57"/>
    <mergeCell ref="K96:K97"/>
    <mergeCell ref="B105:B107"/>
    <mergeCell ref="B71:B73"/>
    <mergeCell ref="B108:B111"/>
    <mergeCell ref="B98:B101"/>
    <mergeCell ref="L110:L111"/>
    <mergeCell ref="P38:P39"/>
    <mergeCell ref="O118:P118"/>
    <mergeCell ref="O116:P116"/>
    <mergeCell ref="O117:P117"/>
    <mergeCell ref="O41:O74"/>
    <mergeCell ref="O75:O113"/>
    <mergeCell ref="P41:P74"/>
    <mergeCell ref="P75:P113"/>
    <mergeCell ref="O38:O39"/>
    <mergeCell ref="L98:L109"/>
  </mergeCells>
  <phoneticPr fontId="1" type="noConversion"/>
  <dataValidations xWindow="521" yWindow="482" count="3">
    <dataValidation type="list" allowBlank="1" showInputMessage="1" sqref="M76:N113 M6:N74" xr:uid="{00000000-0002-0000-0000-000002000000}">
      <formula1>비고</formula1>
    </dataValidation>
    <dataValidation type="list" allowBlank="1" showInputMessage="1" showErrorMessage="1" sqref="C6:C113" xr:uid="{00000000-0002-0000-0000-000000000000}">
      <formula1>과목유형</formula1>
    </dataValidation>
    <dataValidation type="list" allowBlank="1" showInputMessage="1" sqref="D6:D113" xr:uid="{00000000-0002-0000-0000-000001000000}">
      <formula1>INDIRECT(C6)</formula1>
    </dataValidation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12" scale="70" fitToHeight="0" orientation="portrait" r:id="rId1"/>
  <colBreaks count="1" manualBreakCount="1">
    <brk id="3" max="125" man="1"/>
  </colBreaks>
  <ignoredErrors>
    <ignoredError sqref="I116:K116 O1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82" zoomScale="80" zoomScaleNormal="80" workbookViewId="0">
      <selection activeCell="E103" sqref="E103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topLeftCell="A8" workbookViewId="0">
      <selection activeCell="E2" sqref="E2:E54"/>
    </sheetView>
  </sheetViews>
  <sheetFormatPr defaultRowHeight="16.5"/>
  <cols>
    <col min="1" max="1" width="13.21875" style="7" customWidth="1"/>
    <col min="2" max="2" width="12.44140625" style="8" customWidth="1"/>
    <col min="3" max="3" width="20.44140625" style="8" customWidth="1"/>
    <col min="4" max="4" width="18.44140625" style="8" customWidth="1"/>
    <col min="5" max="5" width="31" style="8" customWidth="1"/>
    <col min="6" max="6" width="22.33203125" style="9" customWidth="1"/>
  </cols>
  <sheetData>
    <row r="1" spans="1:6">
      <c r="A1" s="13" t="s">
        <v>12</v>
      </c>
      <c r="B1" s="14" t="s">
        <v>15</v>
      </c>
      <c r="C1" s="14" t="s">
        <v>17</v>
      </c>
      <c r="D1" s="14" t="s">
        <v>19</v>
      </c>
      <c r="E1" s="14" t="s">
        <v>161</v>
      </c>
      <c r="F1" s="9" t="s">
        <v>163</v>
      </c>
    </row>
    <row r="2" spans="1:6">
      <c r="A2" s="15" t="s">
        <v>15</v>
      </c>
      <c r="B2" s="12" t="s">
        <v>27</v>
      </c>
      <c r="C2" s="12" t="s">
        <v>56</v>
      </c>
      <c r="D2" s="12" t="s">
        <v>58</v>
      </c>
      <c r="E2" s="12" t="s">
        <v>59</v>
      </c>
      <c r="F2" s="10" t="s">
        <v>160</v>
      </c>
    </row>
    <row r="3" spans="1:6">
      <c r="A3" s="15" t="s">
        <v>17</v>
      </c>
      <c r="B3" s="12" t="s">
        <v>31</v>
      </c>
      <c r="C3" s="12" t="s">
        <v>57</v>
      </c>
      <c r="D3" s="12" t="s">
        <v>77</v>
      </c>
      <c r="E3" s="12" t="s">
        <v>60</v>
      </c>
      <c r="F3" s="10" t="s">
        <v>105</v>
      </c>
    </row>
    <row r="4" spans="1:6">
      <c r="A4" s="15" t="s">
        <v>19</v>
      </c>
      <c r="B4" s="12" t="s">
        <v>28</v>
      </c>
      <c r="C4" s="12" t="s">
        <v>30</v>
      </c>
      <c r="D4" s="12" t="s">
        <v>32</v>
      </c>
      <c r="E4" s="12" t="s">
        <v>33</v>
      </c>
      <c r="F4" s="10" t="s">
        <v>106</v>
      </c>
    </row>
    <row r="5" spans="1:6">
      <c r="A5" s="15" t="s">
        <v>161</v>
      </c>
      <c r="B5" s="12" t="s">
        <v>34</v>
      </c>
      <c r="C5" s="12" t="s">
        <v>54</v>
      </c>
      <c r="D5" s="12" t="s">
        <v>107</v>
      </c>
      <c r="E5" s="12" t="s">
        <v>61</v>
      </c>
      <c r="F5" s="10" t="s">
        <v>162</v>
      </c>
    </row>
    <row r="6" spans="1:6">
      <c r="B6" s="12" t="s">
        <v>38</v>
      </c>
      <c r="C6" s="12" t="s">
        <v>53</v>
      </c>
      <c r="D6" s="12" t="s">
        <v>108</v>
      </c>
      <c r="E6" s="12" t="s">
        <v>62</v>
      </c>
      <c r="F6" s="11"/>
    </row>
    <row r="7" spans="1:6">
      <c r="B7" s="12" t="s">
        <v>39</v>
      </c>
      <c r="C7" s="12" t="s">
        <v>35</v>
      </c>
      <c r="D7" s="12" t="s">
        <v>110</v>
      </c>
      <c r="E7" s="12" t="s">
        <v>37</v>
      </c>
      <c r="F7" s="11"/>
    </row>
    <row r="8" spans="1:6">
      <c r="B8" s="12" t="s">
        <v>29</v>
      </c>
      <c r="C8" s="12" t="s">
        <v>55</v>
      </c>
      <c r="D8" s="12" t="s">
        <v>109</v>
      </c>
      <c r="E8" s="12" t="s">
        <v>63</v>
      </c>
    </row>
    <row r="9" spans="1:6">
      <c r="B9" s="12" t="s">
        <v>40</v>
      </c>
      <c r="C9" s="15" t="s">
        <v>78</v>
      </c>
      <c r="D9" s="12" t="s">
        <v>36</v>
      </c>
      <c r="E9" s="12" t="s">
        <v>64</v>
      </c>
    </row>
    <row r="10" spans="1:6">
      <c r="B10" s="12" t="s">
        <v>43</v>
      </c>
      <c r="C10" s="12" t="s">
        <v>41</v>
      </c>
      <c r="D10" s="12" t="s">
        <v>101</v>
      </c>
      <c r="E10" s="12" t="s">
        <v>42</v>
      </c>
    </row>
    <row r="11" spans="1:6">
      <c r="B11" s="12" t="s">
        <v>44</v>
      </c>
      <c r="C11" s="12" t="s">
        <v>65</v>
      </c>
      <c r="D11" s="15" t="s">
        <v>79</v>
      </c>
      <c r="E11" s="12" t="s">
        <v>66</v>
      </c>
    </row>
    <row r="12" spans="1:6">
      <c r="B12" s="12" t="s">
        <v>164</v>
      </c>
      <c r="C12" s="12" t="s">
        <v>173</v>
      </c>
      <c r="D12" s="10" t="s">
        <v>189</v>
      </c>
      <c r="E12" s="12" t="s">
        <v>233</v>
      </c>
    </row>
    <row r="13" spans="1:6">
      <c r="B13" s="12" t="s">
        <v>165</v>
      </c>
      <c r="C13" s="12" t="s">
        <v>174</v>
      </c>
      <c r="D13" s="12" t="s">
        <v>190</v>
      </c>
      <c r="E13" s="12" t="s">
        <v>234</v>
      </c>
    </row>
    <row r="14" spans="1:6">
      <c r="B14" s="12" t="s">
        <v>166</v>
      </c>
      <c r="C14" s="12" t="s">
        <v>175</v>
      </c>
      <c r="D14" s="12" t="s">
        <v>191</v>
      </c>
      <c r="E14" s="12" t="s">
        <v>235</v>
      </c>
    </row>
    <row r="15" spans="1:6">
      <c r="B15" s="12" t="s">
        <v>167</v>
      </c>
      <c r="C15" s="12" t="s">
        <v>176</v>
      </c>
      <c r="D15" s="10" t="s">
        <v>192</v>
      </c>
      <c r="E15" s="12" t="s">
        <v>236</v>
      </c>
    </row>
    <row r="16" spans="1:6">
      <c r="B16" s="12" t="s">
        <v>168</v>
      </c>
      <c r="C16" s="10" t="s">
        <v>177</v>
      </c>
      <c r="D16" s="12" t="s">
        <v>193</v>
      </c>
      <c r="E16" s="12" t="s">
        <v>237</v>
      </c>
    </row>
    <row r="17" spans="2:5">
      <c r="B17" s="12" t="s">
        <v>169</v>
      </c>
      <c r="C17" s="12" t="s">
        <v>178</v>
      </c>
      <c r="D17" s="12" t="s">
        <v>194</v>
      </c>
      <c r="E17" s="12" t="s">
        <v>238</v>
      </c>
    </row>
    <row r="18" spans="2:5">
      <c r="B18" s="12" t="s">
        <v>170</v>
      </c>
      <c r="C18" s="10" t="s">
        <v>179</v>
      </c>
      <c r="D18" s="12" t="s">
        <v>195</v>
      </c>
      <c r="E18" s="12" t="s">
        <v>239</v>
      </c>
    </row>
    <row r="19" spans="2:5">
      <c r="B19" s="12" t="s">
        <v>171</v>
      </c>
      <c r="C19" s="10" t="s">
        <v>180</v>
      </c>
      <c r="D19" s="10" t="s">
        <v>196</v>
      </c>
      <c r="E19" s="12" t="s">
        <v>240</v>
      </c>
    </row>
    <row r="20" spans="2:5">
      <c r="C20" s="10" t="s">
        <v>181</v>
      </c>
      <c r="D20" s="10" t="s">
        <v>197</v>
      </c>
      <c r="E20" s="12" t="s">
        <v>241</v>
      </c>
    </row>
    <row r="21" spans="2:5">
      <c r="C21" s="12" t="s">
        <v>182</v>
      </c>
      <c r="D21" s="10" t="s">
        <v>198</v>
      </c>
      <c r="E21" s="12" t="s">
        <v>242</v>
      </c>
    </row>
    <row r="22" spans="2:5">
      <c r="C22" s="12" t="s">
        <v>81</v>
      </c>
      <c r="D22" s="12" t="s">
        <v>80</v>
      </c>
      <c r="E22" s="12" t="s">
        <v>71</v>
      </c>
    </row>
    <row r="23" spans="2:5">
      <c r="C23" s="12" t="s">
        <v>82</v>
      </c>
      <c r="D23" s="12" t="s">
        <v>45</v>
      </c>
      <c r="E23" s="12" t="s">
        <v>47</v>
      </c>
    </row>
    <row r="24" spans="2:5">
      <c r="C24" s="12" t="s">
        <v>159</v>
      </c>
      <c r="D24" s="12" t="s">
        <v>67</v>
      </c>
      <c r="E24" s="12" t="s">
        <v>74</v>
      </c>
    </row>
    <row r="25" spans="2:5">
      <c r="C25" s="12" t="s">
        <v>48</v>
      </c>
      <c r="D25" s="12" t="s">
        <v>68</v>
      </c>
      <c r="E25" s="12" t="s">
        <v>75</v>
      </c>
    </row>
    <row r="26" spans="2:5">
      <c r="C26" s="12" t="s">
        <v>83</v>
      </c>
      <c r="D26" s="12" t="s">
        <v>69</v>
      </c>
      <c r="E26" s="12" t="s">
        <v>113</v>
      </c>
    </row>
    <row r="27" spans="2:5">
      <c r="C27" s="12" t="s">
        <v>183</v>
      </c>
      <c r="D27" s="12" t="s">
        <v>199</v>
      </c>
      <c r="E27" s="12" t="s">
        <v>243</v>
      </c>
    </row>
    <row r="28" spans="2:5">
      <c r="C28" s="12" t="s">
        <v>184</v>
      </c>
      <c r="D28" s="12" t="s">
        <v>200</v>
      </c>
      <c r="E28" s="12" t="s">
        <v>244</v>
      </c>
    </row>
    <row r="29" spans="2:5">
      <c r="C29" s="12" t="s">
        <v>185</v>
      </c>
      <c r="D29" s="12" t="s">
        <v>201</v>
      </c>
      <c r="E29" s="12" t="s">
        <v>245</v>
      </c>
    </row>
    <row r="30" spans="2:5">
      <c r="C30" s="12" t="s">
        <v>186</v>
      </c>
      <c r="D30" s="12" t="s">
        <v>202</v>
      </c>
      <c r="E30" s="12" t="s">
        <v>246</v>
      </c>
    </row>
    <row r="31" spans="2:5">
      <c r="C31" s="12" t="s">
        <v>187</v>
      </c>
      <c r="D31" s="12" t="s">
        <v>203</v>
      </c>
      <c r="E31" s="12" t="s">
        <v>247</v>
      </c>
    </row>
    <row r="32" spans="2:5">
      <c r="C32" s="12" t="s">
        <v>188</v>
      </c>
      <c r="D32" s="12" t="s">
        <v>204</v>
      </c>
      <c r="E32" s="12" t="s">
        <v>248</v>
      </c>
    </row>
    <row r="33" spans="3:5">
      <c r="C33" s="12" t="s">
        <v>92</v>
      </c>
      <c r="D33" s="12" t="s">
        <v>111</v>
      </c>
      <c r="E33" s="12" t="s">
        <v>86</v>
      </c>
    </row>
    <row r="34" spans="3:5">
      <c r="C34" s="12" t="s">
        <v>49</v>
      </c>
      <c r="D34" s="12" t="s">
        <v>112</v>
      </c>
      <c r="E34" s="12" t="s">
        <v>96</v>
      </c>
    </row>
    <row r="35" spans="3:5">
      <c r="C35" s="12" t="s">
        <v>76</v>
      </c>
      <c r="D35" s="12" t="s">
        <v>70</v>
      </c>
      <c r="E35" s="12" t="s">
        <v>87</v>
      </c>
    </row>
    <row r="36" spans="3:5">
      <c r="C36" s="12" t="s">
        <v>52</v>
      </c>
      <c r="D36" s="12" t="s">
        <v>72</v>
      </c>
      <c r="E36" s="12" t="s">
        <v>97</v>
      </c>
    </row>
    <row r="37" spans="3:5">
      <c r="D37" s="12" t="s">
        <v>73</v>
      </c>
      <c r="E37" s="12" t="s">
        <v>51</v>
      </c>
    </row>
    <row r="38" spans="3:5">
      <c r="D38" s="12" t="s">
        <v>46</v>
      </c>
      <c r="E38" s="12" t="s">
        <v>90</v>
      </c>
    </row>
    <row r="39" spans="3:5">
      <c r="D39" s="12" t="s">
        <v>205</v>
      </c>
      <c r="E39" s="12" t="s">
        <v>249</v>
      </c>
    </row>
    <row r="40" spans="3:5">
      <c r="D40" s="12" t="s">
        <v>206</v>
      </c>
      <c r="E40" s="12" t="s">
        <v>257</v>
      </c>
    </row>
    <row r="41" spans="3:5">
      <c r="D41" s="10" t="s">
        <v>207</v>
      </c>
      <c r="E41" s="12" t="s">
        <v>258</v>
      </c>
    </row>
    <row r="42" spans="3:5">
      <c r="D42" s="10" t="s">
        <v>208</v>
      </c>
      <c r="E42" s="12" t="s">
        <v>259</v>
      </c>
    </row>
    <row r="43" spans="3:5">
      <c r="D43" s="10" t="s">
        <v>209</v>
      </c>
      <c r="E43" s="12" t="s">
        <v>260</v>
      </c>
    </row>
    <row r="44" spans="3:5">
      <c r="D44" s="12" t="s">
        <v>210</v>
      </c>
      <c r="E44" s="12" t="s">
        <v>261</v>
      </c>
    </row>
    <row r="45" spans="3:5">
      <c r="D45" s="10" t="s">
        <v>211</v>
      </c>
      <c r="E45" s="12" t="s">
        <v>262</v>
      </c>
    </row>
    <row r="46" spans="3:5">
      <c r="D46" s="12" t="s">
        <v>212</v>
      </c>
      <c r="E46" s="12" t="s">
        <v>263</v>
      </c>
    </row>
    <row r="47" spans="3:5">
      <c r="D47" s="10" t="s">
        <v>84</v>
      </c>
      <c r="E47" s="12" t="s">
        <v>132</v>
      </c>
    </row>
    <row r="48" spans="3:5">
      <c r="D48" s="12" t="s">
        <v>93</v>
      </c>
      <c r="E48" s="12" t="s">
        <v>133</v>
      </c>
    </row>
    <row r="49" spans="4:5">
      <c r="D49" s="10" t="s">
        <v>85</v>
      </c>
      <c r="E49" s="12" t="s">
        <v>134</v>
      </c>
    </row>
    <row r="50" spans="4:5">
      <c r="D50" s="12" t="s">
        <v>94</v>
      </c>
      <c r="E50" s="12" t="s">
        <v>135</v>
      </c>
    </row>
    <row r="51" spans="4:5">
      <c r="D51" s="10" t="s">
        <v>250</v>
      </c>
      <c r="E51" s="12" t="s">
        <v>264</v>
      </c>
    </row>
    <row r="52" spans="4:5">
      <c r="D52" s="12" t="s">
        <v>251</v>
      </c>
      <c r="E52" s="12" t="s">
        <v>265</v>
      </c>
    </row>
    <row r="53" spans="4:5">
      <c r="D53" s="10" t="s">
        <v>252</v>
      </c>
      <c r="E53" s="12" t="s">
        <v>266</v>
      </c>
    </row>
    <row r="54" spans="4:5">
      <c r="D54" s="12" t="s">
        <v>253</v>
      </c>
      <c r="E54" s="12" t="s">
        <v>267</v>
      </c>
    </row>
    <row r="55" spans="4:5">
      <c r="D55" s="10" t="s">
        <v>254</v>
      </c>
    </row>
    <row r="56" spans="4:5">
      <c r="D56" s="12" t="s">
        <v>255</v>
      </c>
    </row>
    <row r="57" spans="4:5">
      <c r="D57" s="10" t="s">
        <v>256</v>
      </c>
    </row>
    <row r="58" spans="4:5">
      <c r="D58" s="12" t="s">
        <v>95</v>
      </c>
    </row>
    <row r="59" spans="4:5">
      <c r="D59" s="12" t="s">
        <v>50</v>
      </c>
    </row>
    <row r="60" spans="4:5">
      <c r="D60" s="15" t="s">
        <v>88</v>
      </c>
    </row>
    <row r="61" spans="4:5">
      <c r="D61" s="12" t="s">
        <v>98</v>
      </c>
    </row>
    <row r="62" spans="4:5">
      <c r="D62" s="15" t="s">
        <v>89</v>
      </c>
    </row>
    <row r="63" spans="4:5">
      <c r="D63" s="12" t="s">
        <v>99</v>
      </c>
    </row>
    <row r="64" spans="4:5">
      <c r="D64" s="15" t="s">
        <v>91</v>
      </c>
    </row>
    <row r="65" spans="4:4">
      <c r="D65" s="12" t="s">
        <v>100</v>
      </c>
    </row>
    <row r="66" spans="4:4">
      <c r="D66" s="12" t="s">
        <v>114</v>
      </c>
    </row>
    <row r="67" spans="4:4">
      <c r="D67" s="12" t="s">
        <v>115</v>
      </c>
    </row>
    <row r="68" spans="4:4">
      <c r="D68" s="12" t="s">
        <v>116</v>
      </c>
    </row>
    <row r="69" spans="4:4">
      <c r="D69" s="12" t="s">
        <v>117</v>
      </c>
    </row>
    <row r="70" spans="4:4">
      <c r="D70" s="12" t="s">
        <v>118</v>
      </c>
    </row>
    <row r="71" spans="4:4">
      <c r="D71" s="12" t="s">
        <v>213</v>
      </c>
    </row>
    <row r="72" spans="4:4">
      <c r="D72" s="12" t="s">
        <v>214</v>
      </c>
    </row>
    <row r="73" spans="4:4">
      <c r="D73" s="12" t="s">
        <v>215</v>
      </c>
    </row>
    <row r="74" spans="4:4">
      <c r="D74" s="12" t="s">
        <v>216</v>
      </c>
    </row>
    <row r="75" spans="4:4">
      <c r="D75" s="12" t="s">
        <v>217</v>
      </c>
    </row>
    <row r="76" spans="4:4">
      <c r="D76" s="12" t="s">
        <v>218</v>
      </c>
    </row>
    <row r="77" spans="4:4">
      <c r="D77" s="12" t="s">
        <v>219</v>
      </c>
    </row>
    <row r="78" spans="4:4">
      <c r="D78" s="12" t="s">
        <v>119</v>
      </c>
    </row>
    <row r="79" spans="4:4">
      <c r="D79" s="12" t="s">
        <v>120</v>
      </c>
    </row>
    <row r="80" spans="4:4">
      <c r="D80" s="12" t="s">
        <v>121</v>
      </c>
    </row>
    <row r="81" spans="4:4">
      <c r="D81" s="12" t="s">
        <v>122</v>
      </c>
    </row>
    <row r="82" spans="4:4">
      <c r="D82" s="12" t="s">
        <v>123</v>
      </c>
    </row>
    <row r="83" spans="4:4">
      <c r="D83" s="12" t="s">
        <v>124</v>
      </c>
    </row>
    <row r="84" spans="4:4">
      <c r="D84" s="12" t="s">
        <v>125</v>
      </c>
    </row>
    <row r="85" spans="4:4">
      <c r="D85" s="12" t="s">
        <v>126</v>
      </c>
    </row>
    <row r="86" spans="4:4">
      <c r="D86" s="12" t="s">
        <v>127</v>
      </c>
    </row>
    <row r="87" spans="4:4">
      <c r="D87" s="12" t="s">
        <v>128</v>
      </c>
    </row>
    <row r="88" spans="4:4">
      <c r="D88" s="12" t="s">
        <v>129</v>
      </c>
    </row>
    <row r="89" spans="4:4">
      <c r="D89" s="12" t="s">
        <v>130</v>
      </c>
    </row>
    <row r="90" spans="4:4">
      <c r="D90" s="12" t="s">
        <v>131</v>
      </c>
    </row>
    <row r="91" spans="4:4">
      <c r="D91" s="12" t="s">
        <v>221</v>
      </c>
    </row>
    <row r="92" spans="4:4">
      <c r="D92" s="12" t="s">
        <v>220</v>
      </c>
    </row>
    <row r="93" spans="4:4">
      <c r="D93" s="12" t="s">
        <v>222</v>
      </c>
    </row>
    <row r="94" spans="4:4">
      <c r="D94" s="12" t="s">
        <v>223</v>
      </c>
    </row>
    <row r="95" spans="4:4">
      <c r="D95" s="12" t="s">
        <v>224</v>
      </c>
    </row>
    <row r="96" spans="4:4">
      <c r="D96" s="12" t="s">
        <v>225</v>
      </c>
    </row>
    <row r="97" spans="4:4">
      <c r="D97" s="12" t="s">
        <v>226</v>
      </c>
    </row>
    <row r="98" spans="4:4">
      <c r="D98" s="12" t="s">
        <v>227</v>
      </c>
    </row>
    <row r="99" spans="4:4">
      <c r="D99" s="12" t="s">
        <v>228</v>
      </c>
    </row>
    <row r="100" spans="4:4">
      <c r="D100" s="12" t="s">
        <v>229</v>
      </c>
    </row>
    <row r="101" spans="4:4">
      <c r="D101" s="12" t="s">
        <v>230</v>
      </c>
    </row>
    <row r="102" spans="4:4">
      <c r="D102" s="12" t="s">
        <v>231</v>
      </c>
    </row>
    <row r="103" spans="4:4">
      <c r="D103" s="12" t="s">
        <v>232</v>
      </c>
    </row>
    <row r="104" spans="4:4">
      <c r="D104" s="12" t="s">
        <v>136</v>
      </c>
    </row>
    <row r="105" spans="4:4">
      <c r="D105" s="12" t="s">
        <v>137</v>
      </c>
    </row>
    <row r="106" spans="4:4">
      <c r="D106" s="12" t="s">
        <v>138</v>
      </c>
    </row>
    <row r="107" spans="4:4">
      <c r="D107" s="12" t="s">
        <v>139</v>
      </c>
    </row>
    <row r="108" spans="4:4">
      <c r="D108" s="12" t="s">
        <v>140</v>
      </c>
    </row>
    <row r="109" spans="4:4">
      <c r="D109" s="12" t="s">
        <v>141</v>
      </c>
    </row>
    <row r="110" spans="4:4">
      <c r="D110" s="12" t="s">
        <v>142</v>
      </c>
    </row>
    <row r="111" spans="4:4">
      <c r="D111" s="12" t="s">
        <v>143</v>
      </c>
    </row>
    <row r="112" spans="4:4">
      <c r="D112" s="12" t="s">
        <v>144</v>
      </c>
    </row>
    <row r="113" spans="4:4">
      <c r="D113" s="12" t="s">
        <v>145</v>
      </c>
    </row>
    <row r="114" spans="4:4">
      <c r="D114" s="12" t="s">
        <v>146</v>
      </c>
    </row>
    <row r="115" spans="4:4">
      <c r="D115" s="12" t="s">
        <v>147</v>
      </c>
    </row>
    <row r="116" spans="4:4">
      <c r="D116" s="12" t="s">
        <v>148</v>
      </c>
    </row>
    <row r="117" spans="4:4">
      <c r="D117" s="12" t="s">
        <v>149</v>
      </c>
    </row>
    <row r="118" spans="4:4">
      <c r="D118" s="12" t="s">
        <v>150</v>
      </c>
    </row>
    <row r="119" spans="4:4">
      <c r="D119" s="12" t="s">
        <v>151</v>
      </c>
    </row>
    <row r="120" spans="4:4">
      <c r="D120" s="12" t="s">
        <v>152</v>
      </c>
    </row>
    <row r="121" spans="4:4">
      <c r="D121" s="12" t="s">
        <v>153</v>
      </c>
    </row>
    <row r="122" spans="4:4">
      <c r="D122" s="12" t="s">
        <v>154</v>
      </c>
    </row>
    <row r="123" spans="4:4">
      <c r="D123" s="12" t="s">
        <v>155</v>
      </c>
    </row>
    <row r="124" spans="4:4">
      <c r="D124" s="12" t="s">
        <v>156</v>
      </c>
    </row>
    <row r="125" spans="4:4">
      <c r="D125" s="12" t="s">
        <v>157</v>
      </c>
    </row>
    <row r="126" spans="4:4">
      <c r="D126" s="12" t="s">
        <v>158</v>
      </c>
    </row>
  </sheetData>
  <phoneticPr fontId="1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8</vt:i4>
      </vt:variant>
    </vt:vector>
  </HeadingPairs>
  <TitlesOfParts>
    <vt:vector size="11" baseType="lpstr">
      <vt:lpstr>2027입학생</vt:lpstr>
      <vt:lpstr>배당표 작성 요령</vt:lpstr>
      <vt:lpstr>Sheet1</vt:lpstr>
      <vt:lpstr>'2027입학생'!Print_Area</vt:lpstr>
      <vt:lpstr>'2027입학생'!Print_Titles</vt:lpstr>
      <vt:lpstr>공통</vt:lpstr>
      <vt:lpstr>과목유형</vt:lpstr>
      <vt:lpstr>비고</vt:lpstr>
      <vt:lpstr>융합</vt:lpstr>
      <vt:lpstr>일반</vt:lpstr>
      <vt:lpstr>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2025-09-19T01:28:45Z</cp:lastPrinted>
  <dcterms:created xsi:type="dcterms:W3CDTF">2002-10-10T04:04:10Z</dcterms:created>
  <dcterms:modified xsi:type="dcterms:W3CDTF">2026-08-18T07:52:11Z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C:\Users\user\AppData\Local\Temp\handytmp\(일반계고)2025학년도 입학생 교육과정 학점 배당표(2022 개정 교육과정))_OO고.xlsx</vt:lpwstr>
  </property>
</Properties>
</file>