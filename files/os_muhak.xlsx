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0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남연\AppData\Local\Temp\handytmp\"/>
    </mc:Choice>
  </mc:AlternateContent>
  <x:bookViews>
    <x:workbookView xWindow="0" yWindow="0" windowWidth="28545" windowHeight="11445" tabRatio="681" activeTab="2"/>
  </x:bookViews>
  <x:sheets>
    <x:sheet name="배당표 작성 요령" sheetId="1" r:id="rId4"/>
    <x:sheet name="데이터베이스" sheetId="2" state="hidden" r:id="rId5"/>
    <x:sheet name="2027입학생" sheetId="3" r:id="rId6"/>
  </x:sheets>
  <x:externalReferences>
    <x:externalReference r:id="rId7"/>
  </x:externalReferences>
  <x:definedNames>
    <x:definedName name="과목개설유형">데이터베이스!$K$14:$K$16</x:definedName>
    <x:definedName name="과목유형">데이터베이스!$D$2:$D$5</x:definedName>
    <x:definedName name="과목유형2">데이터베이스!$D$3:$D$5</x:definedName>
    <x:definedName name="과학공통">데이터베이스!$U$2:$U$5</x:definedName>
    <x:definedName name="과학융합">데이터베이스!$X$2:$X$4</x:definedName>
    <x:definedName name="과학일반">데이터베이스!$V$2:$V$5</x:definedName>
    <x:definedName name="과학진로">데이터베이스!$W$2:$W$9</x:definedName>
    <x:definedName name="교과군">데이터베이스!$A$2:$A$11</x:definedName>
    <x:definedName name="교양융합">데이터베이스!$AM$2:$AM$3</x:definedName>
    <x:definedName name="교양일반">데이터베이스!$AK$2:$AK$3</x:definedName>
    <x:definedName name="교양진로">데이터베이스!$AL$2:$AL$7</x:definedName>
    <x:definedName name="국어공통">데이터베이스!$E$2:$E$3</x:definedName>
    <x:definedName name="국어융합">데이터베이스!$H$2:$H$4</x:definedName>
    <x:definedName name="국어일반">데이터베이스!$F$2:$F$4</x:definedName>
    <x:definedName name="국어진로">데이터베이스!$G$2:$G$4</x:definedName>
    <x:definedName name="기가정융합">데이터베이스!$AG$2:$AG$6</x:definedName>
    <x:definedName name="기가정일반">데이터베이스!$AE$2:$AE$3</x:definedName>
    <x:definedName name="기가정진로">데이터베이스!$AF$2:$AF$5</x:definedName>
    <x:definedName name="기본학점">데이터베이스!$D$13:$E$168</x:definedName>
    <x:definedName name="비고">데이터베이스!$J$14:$J$21</x:definedName>
    <x:definedName name="사회공통">데이터베이스!$Q$2:$Q$5</x:definedName>
    <x:definedName name="사회융합">데이터베이스!$T$2:$T$7</x:definedName>
    <x:definedName name="사회일반">데이터베이스!$R$2:$R$5</x:definedName>
    <x:definedName name="사회진로">데이터베이스!$S$2:$S$10</x:definedName>
    <x:definedName name="수학공통">데이터베이스!$I$2:$I$5</x:definedName>
    <x:definedName name="수학융합">데이터베이스!$L$2:$L$4</x:definedName>
    <x:definedName name="수학일반">데이터베이스!$J$2:$J$4</x:definedName>
    <x:definedName name="수학진로">데이터베이스!$K$2:$K$6</x:definedName>
    <x:definedName name="영어공통">데이터베이스!$M$2:$M$5</x:definedName>
    <x:definedName name="영어융합">데이터베이스!$P$2:$P$4</x:definedName>
    <x:definedName name="영어일반">데이터베이스!$N$2:$N$4</x:definedName>
    <x:definedName name="영어진로">데이터베이스!$O$2:$O$6</x:definedName>
    <x:definedName name="예술융합">데이터베이스!$AD$2:$AD$3</x:definedName>
    <x:definedName name="예술일반">데이터베이스!$AB$2:$AB$4</x:definedName>
    <x:definedName name="예술진로">데이터베이스!$AC$2:$AC$5</x:definedName>
    <x:definedName name="외한융합">데이터베이스!$AJ$2:$AJ$10</x:definedName>
    <x:definedName name="외한일반">데이터베이스!$AH$2:$AH$10</x:definedName>
    <x:definedName name="외한진로">데이터베이스!$AI$2:$AI$18</x:definedName>
    <x:definedName name="운영학점">데이터베이스!$D$13:$G$168</x:definedName>
    <x:definedName name="입력용교과군">데이터베이스!$B$2:$B$11</x:definedName>
    <x:definedName name="체육융합">데이터베이스!$AA$2:$AA$3</x:definedName>
    <x:definedName name="체육일반">데이터베이스!$Y$2:$Y$3</x:definedName>
    <x:definedName name="체육진로">데이터베이스!$Z$2:$Z$4</x:definedName>
    <x:definedName name="기본학점" localSheetId="2">'[1]데이터베이스'!$D$13:$E$168</x:definedName>
    <x:definedName name="과목개설유형" localSheetId="2">'[1]데이터베이스'!$K$14:$K$16</x:definedName>
    <x:definedName name="비고" localSheetId="2">'[1]데이터베이스'!$J$14:$J$21</x:definedName>
    <x:definedName name="과목유형2" localSheetId="2">'[1]데이터베이스'!$D$3:$D$5</x:definedName>
    <x:definedName name="교과군" localSheetId="2">'[1]데이터베이스'!$A$2:$A$11</x:definedName>
    <x:definedName name="과목유형" localSheetId="2">'[1]데이터베이스'!$D$2:$D$5</x:definedName>
    <x:definedName name="_xlnm.Print_Area" localSheetId="2">'2027입학생'!$A$1:$P$107</x:definedName>
    <x:definedName name="_xlnm.Print_Titles" localSheetId="2">'2027입학생'!$3:$5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Administrator</x:author>
  </x:authors>
  <x:commentList>
    <x:comment ref="E3:E3" authorId="0">
      <x:text>
        <x:r>
          <x:rPr>
            <x:rFont val="Tahoma"/>
            <x:sz val="9"/>
            <x:color rgb="ff000000"/>
            <x:b val="1"/>
          </x:rPr>
          <x:t>Administrator:</x:t>
        </x:r>
        <x:r>
          <x:rPr>
            <x:rFont val="Tahoma"/>
            <x:sz val="9"/>
            <x:color rgb="ff000000"/>
          </x:rPr>
          <x:t xml:space="preserve">
</x:t>
        </x:r>
        <x:r>
          <x:rPr>
            <x:rFont val="돋움"/>
            <x:sz val="9"/>
            <x:color rgb="ff000000"/>
          </x:rPr>
          <x:t>수식이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입력되어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있음</x:t>
        </x:r>
        <x:r>
          <x:rPr>
            <x:rFont val="Tahoma"/>
            <x:sz val="9"/>
            <x:color rgb="ff000000"/>
          </x:rPr>
          <x:t xml:space="preserve">. </x:t>
        </x:r>
        <x:r>
          <x:rPr>
            <x:rFont val="돋움"/>
            <x:sz val="9"/>
            <x:color rgb="ff000000"/>
          </x:rPr>
          <x:t>지워진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경우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아래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수식을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활용</x:t>
        </x:r>
        <x:r>
          <x:rPr>
            <x:rFont val="Tahoma"/>
            <x:sz val="9"/>
            <x:color rgb="ff000000"/>
          </x:rPr>
          <x:t xml:space="preserve">
=IFERROR(VLOOKUP(D7, </x:t>
        </x:r>
        <x:r>
          <x:rPr>
            <x:rFont val="돋움"/>
            <x:sz val="9"/>
            <x:color rgb="ff000000"/>
          </x:rPr>
          <x:t>기본학점</x:t>
        </x:r>
        <x:r>
          <x:rPr>
            <x:rFont val="Tahoma"/>
            <x:sz val="9"/>
            <x:color rgb="ff000000"/>
          </x:rPr>
          <x:t xml:space="preserve">, 2, FALSE), "")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<x:sst xmlns:r="http://schemas.openxmlformats.org/officeDocument/2006/relationships" xmlns:c="http://schemas.openxmlformats.org/drawingml/2006/chart" xmlns:x="http://schemas.openxmlformats.org/spreadsheetml/2006/main" count="671" uniqueCount="267">
  <x:si>
    <x:t>2027학년도 입학(2022 개정 교육과정 적용)</x:t>
  </x:si>
  <x:si>
    <x:t>타 시·도 교육감 승인 과목(전문)</x:t>
  </x:si>
  <x:si>
    <x:t>영어 발표와 토론</x:t>
  </x:si>
  <x:si>
    <x:t>화학 반응의 세계</x:t>
  </x:si>
  <x:si>
    <x:t>동아시아 역사 기행</x:t>
  </x:si>
  <x:si>
    <x:t>현대사회와 윤리</x:t>
  </x:si>
  <x:si>
    <x:t xml:space="preserve">역학과 에너지 </x:t>
  </x:si>
  <x:si>
    <x:t>창의 공학 설계</x:t>
  </x:si>
  <x:si>
    <x:t xml:space="preserve">도시의 미래 탐구 </x:t>
  </x:si>
  <x:si>
    <x:t>※ 유의사항
- 2,3학년 국어, 수학, 영어 교과에서 2과목 이내로 이수(국어, 수학, 영어 교과의 이수 학점 총합은 81학점 초과 불가)
- 2,3학년 예술 교과에서 1과목 이상 이수(4학점 이상 이수)
- 3학년 '미술 전공 실기' 과목은 성취도 5단계와 석차 등급 5등급을 산출함에 유의</x:t>
  </x:si>
  <x:si>
    <x:t xml:space="preserve">심화 영어 독해와 작문 </x:t>
  </x:si>
  <x:si>
    <x:t>사 회
(역사/도덕 포함)</x:t>
  </x:si>
  <x:si>
    <x:t>역사로 탐구하는 현대 세계</x:t>
  </x:si>
  <x:si>
    <x:t>기후변화와 지속가능한 세계</x:t>
  </x:si>
  <x:si>
    <x:t>교육감 승인 과목(전문)</x:t>
  </x:si>
  <x:si>
    <x:t>교육감 승인 과목(특목고)</x:t>
  </x:si>
  <x:si>
    <x:t>타 시·도 교육감 승인 과목</x:t>
  </x:si>
  <x:si>
    <x:t>음악 콘텐츠 제작 기초</x:t>
  </x:si>
  <x:si>
    <x:t>타 시·도 교육감 승인 과목(특목고)</x:t>
  </x:si>
  <x:si>
    <x:t>무학여자고등학교 교육과정 학점 배당표</x:t>
  </x:si>
  <x:si>
    <x:t>아랍 문화</x:t>
  </x:si>
  <x:si>
    <x:t>공통국어1</x:t>
  </x:si>
  <x:si>
    <x:t>기본수학2</x:t>
  </x:si>
  <x:si>
    <x:t>미적분Ⅰ</x:t>
  </x:si>
  <x:si>
    <x:t>생태와 환경</x:t>
  </x:si>
  <x:si>
    <x:t>학교지정</x:t>
  </x:si>
  <x:si>
    <x:t>공통영어2</x:t>
  </x:si>
  <x:si>
    <x:t>공통국어2</x:t>
  </x:si>
  <x:si>
    <x:t>기본영어1</x:t>
  </x:si>
  <x:si>
    <x:t>확률과 통계</x:t>
  </x:si>
  <x:si>
    <x:t>이수
학점</x:t>
  </x:si>
  <x:si>
    <x:t>운영
학점</x:t>
  </x:si>
  <x:si>
    <x:t>미술과 매체</x:t>
  </x:si>
  <x:si>
    <x:t xml:space="preserve">논리와 사고 </x:t>
  </x:si>
  <x:si>
    <x:t>기본수학1</x:t>
  </x:si>
  <x:si>
    <x:t>언어생활 탐구</x:t>
  </x:si>
  <x:si>
    <x:t>과목유형</x:t>
  </x:si>
  <x:si>
    <x:t>교과(군)</x:t>
  </x:si>
  <x:si>
    <x:t>공통수학2</x:t>
  </x:si>
  <x:si>
    <x:t>일본어 회화</x:t>
  </x:si>
  <x:si>
    <x:t>수학과제 탐구</x:t>
  </x:si>
  <x:si>
    <x:t>직무 의사소통</x:t>
  </x:si>
  <x:si>
    <x:t>심화 베트남어</x:t>
  </x:si>
  <x:si>
    <x:t>실용 통계</x:t>
  </x:si>
  <x:si>
    <x:t xml:space="preserve">독서와 작문 </x:t>
  </x:si>
  <x:si>
    <x:t xml:space="preserve">진로와 직업 </x:t>
  </x:si>
  <x:si>
    <x:t xml:space="preserve">러시아 문화 </x:t>
  </x:si>
  <x:si>
    <x:t>여행지리</x:t>
  </x:si>
  <x:si>
    <x:t>인문학과 윤리</x:t>
  </x:si>
  <x:si>
    <x:t>음악과 미디어</x:t>
  </x:si>
  <x:si>
    <x:t xml:space="preserve">교육의 이해 </x:t>
  </x:si>
  <x:si>
    <x:t>미적분Ⅱ</x:t>
  </x:si>
  <x:si>
    <x:t>기술∙가정</x:t>
  </x:si>
  <x:si>
    <x:t>전자기와 양자</x:t>
  </x:si>
  <x:si>
    <x:t xml:space="preserve">화법과 언어 </x:t>
  </x:si>
  <x:si>
    <x:t>공통영어1</x:t>
  </x:si>
  <x:si>
    <x:t>생물의 유전</x:t>
  </x:si>
  <x:si>
    <x:t xml:space="preserve">중국어 회화 </x:t>
  </x:si>
  <x:si>
    <x:t>베트남어</x:t>
  </x:si>
  <x:si>
    <x:t>직무 수학</x:t>
  </x:si>
  <x:si>
    <x:t>스포츠 문화</x:t>
  </x:si>
  <x:si>
    <x:t>일본 문화</x:t>
  </x:si>
  <x:si>
    <x:t xml:space="preserve">독일어 </x:t>
  </x:si>
  <x:si>
    <x:t xml:space="preserve">수학과 문화 </x:t>
  </x:si>
  <x:si>
    <x:t xml:space="preserve">미디어 영어 </x:t>
  </x:si>
  <x:si>
    <x:t>삶과 종교</x:t>
  </x:si>
  <x:si>
    <x:t>공통수학1</x:t>
  </x:si>
  <x:si>
    <x:t>문학과 영상</x:t>
  </x:si>
  <x:si>
    <x:t>러시아어</x:t>
  </x:si>
  <x:si>
    <x:t>베트남어 회화</x:t>
  </x:si>
  <x:si>
    <x:t>아랍어 회화</x:t>
  </x:si>
  <x:si>
    <x:t>기본영어2</x:t>
  </x:si>
  <x:si>
    <x:t>인공지능 수학</x:t>
  </x:si>
  <x:si>
    <x:t>인간과 심리</x:t>
  </x:si>
  <x:si>
    <x:t>융합과학 탐구</x:t>
  </x:si>
  <x:si>
    <x:t>수학일반</x:t>
  </x:si>
  <x:si>
    <x:t>한국사2</x:t>
  </x:si>
  <x:si>
    <x:t>통합사회1</x:t>
  </x:si>
  <x:si>
    <x:t>수학공통</x:t>
  </x:si>
  <x:si>
    <x:t>베트남 문화</x:t>
  </x:si>
  <x:si>
    <x:t xml:space="preserve">윤리와 사상 </x:t>
  </x:si>
  <x:si>
    <x:t>한국사1</x:t>
  </x:si>
  <x:si>
    <x:t>행성우주과학</x:t>
  </x:si>
  <x:si>
    <x:t>직무 영어</x:t>
  </x:si>
  <x:si>
    <x:t>윤리문제 탐구</x:t>
  </x:si>
  <x:si>
    <x:t>과학탐구실험2</x:t>
  </x:si>
  <x:si>
    <x:t>프랑스어</x:t>
  </x:si>
  <x:si>
    <x:t>통합과학2</x:t>
  </x:si>
  <x:si>
    <x:t>인간과 철학</x:t>
  </x:si>
  <x:si>
    <x:t>사회문제 탐구</x:t>
  </x:si>
  <x:si>
    <x:t xml:space="preserve">생명과학 </x:t>
  </x:si>
  <x:si>
    <x:t xml:space="preserve">미술 창작 </x:t>
  </x:si>
  <x:si>
    <x:t>데이터 과학</x:t>
  </x:si>
  <x:si>
    <x:t>사회와 문화</x:t>
  </x:si>
  <x:si>
    <x:t>과학탐구실험1</x:t>
  </x:si>
  <x:si>
    <x:t>스포츠 과학</x:t>
  </x:si>
  <x:si>
    <x:t>경제 수학</x:t>
  </x:si>
  <x:si>
    <x:t>통합과학1</x:t>
  </x:si>
  <x:si>
    <x:t>스페인어</x:t>
  </x:si>
  <x:si>
    <x:t>스페인어 회화</x:t>
  </x:si>
  <x:si>
    <x:t>과학융합</x:t>
  </x:si>
  <x:si>
    <x:t>심화 독일어</x:t>
  </x:si>
  <x:si>
    <x:t xml:space="preserve">일본어 </x:t>
  </x:si>
  <x:si>
    <x:t xml:space="preserve">심화 중국어 </x:t>
  </x:si>
  <x:si>
    <x:t xml:space="preserve">법과 사회 </x:t>
  </x:si>
  <x:si>
    <x:t>한국지리 탐구</x:t>
  </x:si>
  <x:si>
    <x:t>심화 스페인어</x:t>
  </x:si>
  <x:si>
    <x:t>영어일반</x:t>
  </x:si>
  <x:si>
    <x:t>독일어권 문화</x:t>
  </x:si>
  <x:si>
    <x:t>영어진로</x:t>
  </x:si>
  <x:si>
    <x:t>영어융합</x:t>
  </x:si>
  <x:si>
    <x:t>심화 일본어</x:t>
  </x:si>
  <x:si>
    <x:t>통합사회2</x:t>
  </x:si>
  <x:si>
    <x:t>독일어 회화</x:t>
  </x:si>
  <x:si>
    <x:t>체육진로</x:t>
  </x:si>
  <x:si>
    <x:t>영어공통</x:t>
  </x:si>
  <x:si>
    <x:t>사회공통</x:t>
  </x:si>
  <x:si>
    <x:t>국어일반</x:t>
  </x:si>
  <x:si>
    <x:t>과학일반</x:t>
  </x:si>
  <x:si>
    <x:t>기본
학점</x:t>
  </x:si>
  <x:si>
    <x:t>3학년 
선택</x:t>
  </x:si>
  <x:si>
    <x:t xml:space="preserve">중국 문화 </x:t>
  </x:si>
  <x:si>
    <x:t>국어융합</x:t>
  </x:si>
  <x:si>
    <x:t>수학융합</x:t>
  </x:si>
  <x:si>
    <x:t>기가정진로</x:t>
  </x:si>
  <x:si>
    <x:t>2학년 
선택</x:t>
  </x:si>
  <x:si>
    <x:t>예술진로</x:t>
  </x:si>
  <x:si>
    <x:t xml:space="preserve">심화 영어 </x:t>
  </x:si>
  <x:si>
    <x:t xml:space="preserve">운동과 건강 </x:t>
  </x:si>
  <x:si>
    <x:t>사회진로</x:t>
  </x:si>
  <x:si>
    <x:t>심화 아랍어</x:t>
  </x:si>
  <x:si>
    <x:t>지구과학</x:t>
  </x:si>
  <x:si>
    <x:t>과학진로</x:t>
  </x:si>
  <x:si>
    <x:t>체육일반</x:t>
  </x:si>
  <x:si>
    <x:t>과학공통</x:t>
  </x:si>
  <x:si>
    <x:t>생활과학 탐구</x:t>
  </x:si>
  <x:si>
    <x:t>사회일반</x:t>
  </x:si>
  <x:si>
    <x:t>과목 
유형</x:t>
  </x:si>
  <x:si>
    <x:t>예술융합</x:t>
  </x:si>
  <x:si>
    <x:t>교양일반</x:t>
  </x:si>
  <x:si>
    <x:t>체육융합</x:t>
  </x:si>
  <x:si>
    <x:t>국어진로</x:t>
  </x:si>
  <x:si>
    <x:t>허용하한</x:t>
  </x:si>
  <x:si>
    <x:t>과목유형2</x:t>
  </x:si>
  <x:si>
    <x:t>외한진로</x:t>
  </x:si>
  <x:si>
    <x:t>기가정융합</x:t>
  </x:si>
  <x:si>
    <x:t>국어공통</x:t>
  </x:si>
  <x:si>
    <x:t>12
(택3)</x:t>
  </x:si>
  <x:si>
    <x:t>교양진로</x:t>
  </x:si>
  <x:si>
    <x:t>허용상한</x:t>
  </x:si>
  <x:si>
    <x:t>외한일반</x:t>
  </x:si>
  <x:si>
    <x:t>학교 밖 교육</x:t>
  </x:si>
  <x:si>
    <x:t>외한융합</x:t>
  </x:si>
  <x:si>
    <x:t>목록이름</x:t>
  </x:si>
  <x:si>
    <x:t>기가정일반</x:t>
  </x:si>
  <x:si>
    <x:t>기본학점</x:t>
  </x:si>
  <x:si>
    <x:t>예술일반</x:t>
  </x:si>
  <x:si>
    <x:t>4
(택1)</x:t>
  </x:si>
  <x:si>
    <x:t>전문 교과</x:t>
  </x:si>
  <x:si>
    <x:t>수학진로</x:t>
  </x:si>
  <x:si>
    <x:t>사회융합</x:t>
  </x:si>
  <x:si>
    <x:t>공유캠퍼스</x:t>
  </x:si>
  <x:si>
    <x:t>온라인학교</x:t>
  </x:si>
  <x:si>
    <x:t>교양융합</x:t>
  </x:si>
  <x:si>
    <x:t xml:space="preserve">물질과 에너지 </x:t>
  </x:si>
  <x:si>
    <x:t>현대 세계의 변화</x:t>
  </x:si>
  <x:si>
    <x:t>지식 재산 일반</x:t>
  </x:si>
  <x:si>
    <x:t xml:space="preserve">인간과 경제활동 </x:t>
  </x:si>
  <x:si>
    <x:t>세계시민과 지리</x:t>
  </x:si>
  <x:si>
    <x:t xml:space="preserve">생애 설계와 자립 </x:t>
  </x:si>
  <x:si>
    <x:t>기술∙가정/정보</x:t>
  </x:si>
  <x:si>
    <x:t>국제 관계의 이해</x:t>
  </x:si>
  <x:si>
    <x:t>음악 감상과 비평</x:t>
  </x:si>
  <x:si>
    <x:t>음악 연주와 창작</x:t>
  </x:si>
  <x:si>
    <x:t>미술 전공 실기</x:t>
  </x:si>
  <x:si>
    <x:t>제2외국어/한문</x:t>
  </x:si>
  <x:si>
    <x:t xml:space="preserve">실생활 영어 회화 </x:t>
  </x:si>
  <x:si>
    <x:t xml:space="preserve">러시아어 회화 </x:t>
  </x:si>
  <x:si>
    <x:t xml:space="preserve">주제 탐구 독서 </x:t>
  </x:si>
  <x:si>
    <x:t>세계 문화와 영어</x:t>
  </x:si>
  <x:si>
    <x:t>영어 독해와 작문</x:t>
  </x:si>
  <x:si>
    <x:t xml:space="preserve">매체 의사소통 </x:t>
  </x:si>
  <x:si>
    <x:t>기후변화와 환경생태</x:t>
  </x:si>
  <x:si>
    <x:t>미술 감상과 비평</x:t>
  </x:si>
  <x:si>
    <x:t xml:space="preserve">프랑스어 회화 </x:t>
  </x:si>
  <x:si>
    <x:t>학기별 총 이수 학점</x:t>
  </x:si>
  <x:si>
    <x:t>로봇과 공학세계</x:t>
  </x:si>
  <x:si>
    <x:t>언어생활과 한자</x:t>
  </x:si>
  <x:si>
    <x:t>창의적 체험활동</x:t>
  </x:si>
  <x:si>
    <x:t>독서 토론과 글쓰기</x:t>
  </x:si>
  <x:si>
    <x:t>학년별 총 이수 학점</x:t>
  </x:si>
  <x:si>
    <x:t>영미 문학 읽기</x:t>
  </x:si>
  <x:si>
    <x:t>필수
이수
학점</x:t>
  </x:si>
  <x:si>
    <x:t xml:space="preserve">인공지능 기초 </x:t>
  </x:si>
  <x:si>
    <x:t>과학의 역사와 문화</x:t>
  </x:si>
  <x:si>
    <x:t xml:space="preserve">세포와 물질대사 </x:t>
  </x:si>
  <x:si>
    <x:t>금융과 경제생활</x:t>
  </x:si>
  <x:si>
    <x:t>한문 고전 읽기</x:t>
  </x:si>
  <x:si>
    <x:t>과목 개설 유형</x:t>
  </x:si>
  <x:si>
    <x:t>특목고 선택 과목</x:t>
  </x:si>
  <x:si>
    <x:t>입력용 
교과(군)</x:t>
  </x:si>
  <x:si>
    <x:t>교과 이수 학점 소계</x:t>
  </x:si>
  <x:si>
    <x:t>프랑스어권 문화</x:t>
  </x:si>
  <x:si>
    <x:t xml:space="preserve">지구시스템과학 </x:t>
  </x:si>
  <x:si>
    <x:t xml:space="preserve">심화 러시아어 </x:t>
  </x:si>
  <x:si>
    <x:t>소프트웨어와 생활</x:t>
  </x:si>
  <x:si>
    <x:t xml:space="preserve">스포츠 생활2 </x:t>
  </x:si>
  <x:si>
    <x:t xml:space="preserve">심화 프랑스어 </x:t>
  </x:si>
  <x:si>
    <x:t xml:space="preserve">스포츠 생활1 </x:t>
  </x:si>
  <x:si>
    <x:t>학기당 이수 과목 수</x:t>
  </x:si>
  <x:si>
    <x:t>아동발달과 부모</x:t>
  </x:si>
  <x:si>
    <x:t>교육감 승인 과목</x:t>
  </x:si>
  <x:si>
    <x:t>스페인어권 문화</x:t>
  </x:si>
  <x:si>
    <x:t>정치</x:t>
  </x:si>
  <x:si>
    <x:t>국 어</x:t>
  </x:si>
  <x:si>
    <x:t>외한</x:t>
  </x:si>
  <x:si>
    <x:t>1학기</x:t>
  </x:si>
  <x:si>
    <x:t xml:space="preserve"> </x:t>
  </x:si>
  <x:si>
    <x:t>3학년</x:t>
  </x:si>
  <x:si>
    <x:t>[3]</x:t>
  </x:si>
  <x:si>
    <x:t>대수</x:t>
  </x:si>
  <x:si>
    <x:t>융합</x:t>
  </x:si>
  <x:si>
    <x:t>논술</x:t>
  </x:si>
  <x:si>
    <x:t>연극</x:t>
  </x:si>
  <x:si>
    <x:t>체육2</x:t>
  </x:si>
  <x:si>
    <x:t>과 학</x:t>
  </x:si>
  <x:si>
    <x:t>2학년</x:t>
  </x:si>
  <x:si>
    <x:t>구분</x:t>
  </x:si>
  <x:si>
    <x:t>비고</x:t>
  </x:si>
  <x:si>
    <x:t>보건</x:t>
  </x:si>
  <x:si>
    <x:t>공통</x:t>
  </x:si>
  <x:si>
    <x:t>예 술</x:t>
  </x:si>
  <x:si>
    <x:t>영어Ⅱ</x:t>
  </x:si>
  <x:si>
    <x:t>기하</x:t>
  </x:si>
  <x:si>
    <x:t>미술</x:t>
  </x:si>
  <x:si>
    <x:t>체 육</x:t>
  </x:si>
  <x:si>
    <x:t>문학</x:t>
  </x:si>
  <x:si>
    <x:t>영어Ⅰ</x:t>
  </x:si>
  <x:si>
    <x:t>수학</x:t>
  </x:si>
  <x:si>
    <x:t>한문</x:t>
  </x:si>
  <x:si>
    <x:t>수 학</x:t>
  </x:si>
  <x:si>
    <x:t>음악</x:t>
  </x:si>
  <x:si>
    <x:t>체육</x:t>
  </x:si>
  <x:si>
    <x:t>영어</x:t>
  </x:si>
  <x:si>
    <x:t>기가정</x:t>
  </x:si>
  <x:si>
    <x:t>교양</x:t>
  </x:si>
  <x:si>
    <x:t>정보</x:t>
  </x:si>
  <x:si>
    <x:t>진로</x:t>
  </x:si>
  <x:si>
    <x:t>일반</x:t>
  </x:si>
  <x:si>
    <x:t>2학기</x:t>
  </x:si>
  <x:si>
    <x:t>예술</x:t>
  </x:si>
  <x:si>
    <x:t>체육1</x:t>
  </x:si>
  <x:si>
    <x:t>영 어</x:t>
  </x:si>
  <x:si>
    <x:t>1학년</x:t>
  </x:si>
  <x:si>
    <x:t>사회</x:t>
  </x:si>
  <x:si>
    <x:t>중국어</x:t>
  </x:si>
  <x:si>
    <x:t>과목</x:t>
  </x:si>
  <x:si>
    <x:t/>
  </x:si>
  <x:si>
    <x:t>국어</x:t>
  </x:si>
  <x:si>
    <x:t>경제</x:t>
  </x:si>
  <x:si>
    <x:t>과목명</x:t>
  </x:si>
  <x:si>
    <x:t>물리학</x:t>
  </x:si>
  <x:si>
    <x:t>아랍어</x:t>
  </x:si>
  <x:si>
    <x:t>과학</x:t>
  </x:si>
  <x:si>
    <x:t>교 양</x:t>
  </x:si>
  <x:si>
    <x:t>세계사</x:t>
  </x:si>
  <x:si>
    <x:t>화학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</x:si>
</x:sst>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1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돋움"/>
      <x:sz val="10"/>
      <x:color rgb="ff000000"/>
    </x:font>
    <x:font>
      <x:name val="돋움"/>
      <x:sz val="10"/>
      <x:color rgb="ffff0000"/>
    </x:font>
    <x:font>
      <x:name val="돋움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fdeadb"/>
        <x:bgColor indexed="64"/>
      </x:patternFill>
    </x:fill>
    <x:fill>
      <x:patternFill patternType="solid">
        <x:fgColor rgb="fff4fbc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d9d9d9"/>
        <x:bgColor indexed="64"/>
      </x:patternFill>
    </x:fill>
  </x:fills>
  <x:borders count="10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 style="hair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37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3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3" borderId="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3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3" borderId="7" xfId="0" applyNumberFormat="1" applyFont="1" applyFill="1" applyBorder="1" applyAlignment="1">
          <x:alignment horizontal="center" vertical="center" shrinkToFit="1"/>
        </x:xf>
      </mc:Fallback>
    </mc:AlternateContent>
    <x:xf numFmtId="0" fontId="7" fillId="0" borderId="0" xfId="0" applyFont="1" applyAlignment="1">
      <x:alignment horizontal="general" vertical="bottom" shrinkToFit="1"/>
    </x:xf>
    <mc:AlternateContent xmlns:mc="http://schemas.openxmlformats.org/markup-compatibility/2006">
      <mc:Choice xmlns:hs="http://schemas.haansoft.com/office/spreadsheet/8.0" Requires="hs">
        <x:xf numFmtId="49" fontId="7" fillId="4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7" xfId="0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7" xfId="0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8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8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0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8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8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0" applyFont="1" applyFill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0" applyFont="1" applyFill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0" fontId="0" fillId="0" borderId="14" xfId="0" applyNumberForma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1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5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8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7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7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2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2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9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8" xfId="0" applyNumberFormat="1" applyFont="1" applyBorder="1" applyAlignment="1">
          <x:alignment horizontal="center" vertical="center" wrapText="1"/>
        </x:xf>
      </mc:Fallback>
    </mc:AlternateContent>
    <x:xf numFmtId="0" fontId="6" fillId="0" borderId="59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6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 wrapText="1"/>
        </x:xf>
      </mc:Fallback>
    </mc:AlternateContent>
    <x:xf numFmtId="0" fontId="6" fillId="0" borderId="19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6" fillId="0" borderId="2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6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6" xfId="0" quotePrefix="1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37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3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3" xfId="0" quotePrefix="1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4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3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1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1" xfId="0" quotePrefix="1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3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3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9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9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0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0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8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8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5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5" xfId="0" quotePrefix="1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40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6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NumberFormat="1" applyFont="1" applyBorder="1" applyAlignment="1">
          <x:alignment horizontal="center" vertical="center" wrapText="1"/>
        </x:xf>
      </mc:Fallback>
    </mc:AlternateContent>
    <x:xf numFmtId="0" fontId="6" fillId="0" borderId="64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4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7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7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9" xfId="0" applyNumberFormat="1" applyFont="1" applyBorder="1" applyAlignment="1">
          <x:alignment horizontal="center" vertical="center" wrapText="1"/>
        </x:xf>
      </mc:Fallback>
    </mc:AlternateContent>
    <x:xf numFmtId="0" fontId="6" fillId="0" borderId="22" xfId="0" applyNumberFormat="1" applyFont="1" applyBorder="1" applyAlignment="1">
      <x:alignment horizontal="general" vertical="center" wrapText="1"/>
    </x:xf>
    <x:xf numFmtId="0" fontId="6" fillId="0" borderId="73" xfId="0" applyNumberFormat="1" applyFont="1" applyBorder="1" applyAlignment="1">
      <x:alignment horizontal="general" vertical="center" wrapText="1"/>
    </x:xf>
    <x:xf numFmtId="0" fontId="6" fillId="0" borderId="10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4" xfId="0" quotePrefix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4" xfId="0" quotePrefix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6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6" xfId="0" quotePrefix="1" applyNumberFormat="1" applyFont="1" applyBorder="1" applyAlignment="1">
          <x:alignment horizontal="center" vertical="center" wrapText="1"/>
        </x:xf>
      </mc:Fallback>
    </mc:AlternateContent>
    <x:xf numFmtId="0" fontId="6" fillId="0" borderId="1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31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1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4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4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8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8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6" xfId="0" applyNumberFormat="1" applyFont="1" applyBorder="1" applyAlignment="1">
          <x:alignment horizontal="center" vertical="center" wrapText="1"/>
        </x:xf>
      </mc:Fallback>
    </mc:AlternateContent>
    <x:xf numFmtId="0" fontId="6" fillId="0" borderId="4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5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5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3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3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4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4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 wrapText="1"/>
        </x:xf>
      </mc:Fallback>
    </mc:AlternateContent>
    <x:xf numFmtId="0" fontId="15" fillId="0" borderId="14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8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8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8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8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8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8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6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6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8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8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8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8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7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7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8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8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8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8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8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8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8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8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9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9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8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8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9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9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1" xfId="0" applyNumberFormat="1" applyFont="1" applyBorder="1" applyAlignment="1">
          <x:alignment horizontal="center" vertical="center"/>
        </x:xf>
      </mc:Fallback>
    </mc:AlternateContent>
    <x:xf numFmtId="0" fontId="11" fillId="8" borderId="102" xfId="0" applyNumberFormat="1" applyFont="1" applyFill="1" applyBorder="1" applyAlignment="1">
      <x:alignment horizontal="left" vertical="top" wrapText="1"/>
    </x:xf>
    <x:xf numFmtId="0" fontId="11" fillId="8" borderId="103" xfId="0" applyNumberFormat="1" applyFont="1" applyFill="1" applyBorder="1" applyAlignment="1">
      <x:alignment horizontal="left" vertical="top" wrapText="1"/>
    </x:xf>
    <x:xf numFmtId="0" fontId="11" fillId="8" borderId="104" xfId="0" applyNumberFormat="1" applyFont="1" applyFill="1" applyBorder="1" applyAlignment="1">
      <x:alignment horizontal="left" vertical="top" wrapText="1"/>
    </x:xf>
  </x:cellXfs>
  <x:cellStyles count="1">
    <x:cellStyle name="표준" xfId="0" builtinId="0"/>
  </x:cellStyles>
  <x:dxfs count="11">
    <x:dxf>
      <x:border>
        <x:bottom style="hair">
          <x:color auto="1"/>
        </x:bottom>
        <x:vertical>
          <x:color auto="1"/>
        </x:vertical>
        <x:horizontal>
          <x:color auto="1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auto="1"/>
            <x:b val="1"/>
            <x:i val="0"/>
            <x:strike val="0"/>
            <x:u val="none"/>
            <hs:underlineType val="0"/>
            <hs:underlineShape val="solid"/>
            <hs:underlineColor auto="1"/>
            <hs:strikeoutType val="0"/>
            <hs:strikeoutShape val="solid"/>
            <hs:strikeout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 style="thin">
              <x:color auto="1"/>
            </x:left>
            <x:right style="thin">
              <x:color auto="1"/>
            </x:right>
            <x:top>
              <x:color auto="1"/>
            </x:top>
            <x:bottom>
              <x:color auto="1"/>
            </x:bottom>
          </x:border>
        </x:dxf>
      </mc:Choice>
      <mc:Fallback>
        <x:dxf>
          <x:font>
            <x:sz val="10"/>
            <x:color auto="1"/>
            <x:b val="1"/>
            <x:i val="0"/>
            <x:strike val="0"/>
            <x:u val="none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 style="thin">
              <x:color auto="1"/>
            </x:left>
            <x:right style="thin">
              <x:color auto="1"/>
            </x:right>
            <x:top>
              <x:color auto="1"/>
            </x:top>
            <x:bottom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auto="1"/>
            <x:b val="1"/>
            <x:i val="0"/>
            <x:strike val="0"/>
            <x:u val="none"/>
            <hs:underlineType val="0"/>
            <hs:underlineShape val="solid"/>
            <hs:underlineColor auto="1"/>
            <hs:strikeoutType val="0"/>
            <hs:strikeoutShape val="solid"/>
            <hs:strikeout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>
              <x:color auto="1"/>
            </x:left>
            <x:right>
              <x:color auto="1"/>
            </x:right>
            <x:top>
              <x:color auto="1"/>
            </x:top>
            <x:bottom>
              <x:color auto="1"/>
            </x:bottom>
          </x:border>
        </x:dxf>
      </mc:Choice>
      <mc:Fallback>
        <x:dxf>
          <x:font>
            <x:sz val="10"/>
            <x:color auto="1"/>
            <x:b val="1"/>
            <x:i val="0"/>
            <x:strike val="0"/>
            <x:u val="none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>
              <x:color auto="1"/>
            </x:left>
            <x:right>
              <x:color auto="1"/>
            </x:right>
            <x:top>
              <x:color auto="1"/>
            </x:top>
            <x:bottom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auto="1"/>
            <x:b val="1"/>
            <x:i val="0"/>
            <x:strike val="0"/>
            <x:u val="none"/>
            <hs:underlineType val="0"/>
            <hs:underlineShape val="solid"/>
            <hs:underlineColor auto="1"/>
            <hs:strikeoutType val="0"/>
            <hs:strikeoutShape val="solid"/>
            <hs:strikeout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>
              <x:color auto="1"/>
            </x:left>
            <x:right style="thin">
              <x:color auto="1"/>
            </x:right>
            <x:top>
              <x:color auto="1"/>
            </x:top>
            <x:bottom>
              <x:color auto="1"/>
            </x:bottom>
          </x:border>
        </x:dxf>
      </mc:Choice>
      <mc:Fallback>
        <x:dxf>
          <x:font>
            <x:sz val="10"/>
            <x:color auto="1"/>
            <x:b val="1"/>
            <x:i val="0"/>
            <x:strike val="0"/>
            <x:u val="none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>
              <x:color auto="1"/>
            </x:left>
            <x:right style="thin">
              <x:color auto="1"/>
            </x:right>
            <x:top>
              <x:color auto="1"/>
            </x:top>
            <x:bottom>
              <x:color auto="1"/>
            </x:bottom>
          </x:border>
        </x:dxf>
      </mc:Fallback>
    </mc:AlternateContent>
    <x:dxf>
      <x:border>
        <x:bottom style="medium">
          <x:color rgb="ff000000"/>
        </x:bottom>
      </x:border>
    </x:dxf>
    <x:dxf>
      <x:border>
        <x:bottom style="medium">
          <x:color auto="1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000000"/>
            <x:b val="1"/>
            <x:i val="0"/>
            <x:strike val="0"/>
            <x:u val="none"/>
            <hs:underlineType val="0"/>
            <hs:underlineShape val="solid"/>
            <hs:underlineColor rgb="ff000000"/>
            <hs:strikeoutType val="0"/>
            <hs:strikeoutShape val="solid"/>
            <hs:strikeout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 style="thin">
              <x:color auto="1"/>
            </x:left>
            <x:right style="thin">
              <x:color auto="1"/>
            </x:right>
            <x:top>
              <x:color auto="1"/>
            </x:top>
            <x:bottom>
              <x:color auto="1"/>
            </x:bottom>
          </x:border>
        </x:dxf>
      </mc:Choice>
      <mc:Fallback>
        <x:dxf>
          <x:font>
            <x:sz val="10"/>
            <x:color rgb="ff000000"/>
            <x:b val="1"/>
            <x:i val="0"/>
            <x:strike val="0"/>
            <x:u val="none"/>
          </x:font>
          <x:fill>
            <x:patternFill patternType="solid">
              <x:fgColor indexed="65"/>
              <x:bgColor rgb="fff3dcdb"/>
            </x:patternFill>
          </x:fill>
          <x:alignment horizontal="center" vertical="center" wrapText="1" justifyLastLine="1" shrinkToFit="1"/>
          <x:border>
            <x:left style="thin">
              <x:color auto="1"/>
            </x:left>
            <x:right style="thin">
              <x:color auto="1"/>
            </x:right>
            <x:top>
              <x:color auto="1"/>
            </x:top>
            <x:bottom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center" vertical="center" wrapText="1"/>
          <x:border>
            <x:bottom style="medium">
              <x:color auto="1"/>
            </x:bottom>
          </x:border>
        </x:dxf>
      </mc:Choice>
      <mc:Fallback>
        <x:dxf>
          <x:font>
            <x:sz val="10"/>
          </x:font>
          <x:alignment horizontal="center" vertical="center" wrapText="1"/>
          <x:border>
            <x:bottom style="medium">
              <x:color auto="1"/>
            </x:bottom>
          </x:border>
        </x:dxf>
      </mc:Fallback>
    </mc:AlternateContent>
    <x:dxf>
      <x:border>
        <x:horizontal>
          <x:color rgb="ff000000"/>
        </x:horizontal>
      </x:border>
    </x:dxf>
    <x:dxf>
      <x:border>
        <x:horizontal>
          <x:color rgb="ff000000"/>
        </x:horizontal>
      </x:border>
    </x:dxf>
  </x:dxfs>
  <x:tableStyles count="2" defaultTableStyle="TableStyleMedium9" defaultPivotStyle="PivotStyleLight16">
    <x:tableStyle name="표 스타일 1" pivot="0" table="1" count="1">
      <x:tableStyleElement type="wholeTable" size="1" dxfId="6"/>
    </x:tableStyle>
    <x:tableStyle name="표 스타일 2" pivot="0" table="1" count="1">
      <x:tableStyleElement type="lastColumn" size="1" dxfId="5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externalLink" Target="externalLinks/externalLink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2" Type="http://schemas.openxmlformats.org/officeDocument/2006/relationships/image" Target="../media/image1.png"  /><Relationship Id="rId3" Type="http://schemas.openxmlformats.org/officeDocument/2006/relationships/image" Target="../media/image2.png"  /><Relationship Id="rId4" Type="http://schemas.openxmlformats.org/officeDocument/2006/relationships/image" Target="../media/image3.png"  /><Relationship Id="rId5" Type="http://schemas.openxmlformats.org/officeDocument/2006/relationships/image" Target="../media/image4.png"  /><Relationship Id="rId6" Type="http://schemas.openxmlformats.org/officeDocument/2006/relationships/image" Target="../media/image5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67</xdr:row>
      <xdr:rowOff>161925</xdr:rowOff>
    </xdr:from>
    <xdr:to>
      <xdr:col>9</xdr:col>
      <xdr:colOff>57150</xdr:colOff>
      <xdr:row>80</xdr:row>
      <xdr:rowOff>57150</xdr:rowOff>
    </xdr:to>
    <xdr:pic macro="" fPublished="0">
      <xdr:nvPicPr>
        <xdr:cNvPr id="11" name="그림 10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11649075"/>
          <a:ext cx="6915150" cy="21240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80</xdr:row>
      <xdr:rowOff>38100</xdr:rowOff>
    </xdr:from>
    <xdr:to>
      <xdr:col>6</xdr:col>
      <xdr:colOff>228600</xdr:colOff>
      <xdr:row>104</xdr:row>
      <xdr:rowOff>104775</xdr:rowOff>
    </xdr:to>
    <xdr:pic macro="" fPublished="0">
      <xdr:nvPicPr>
        <xdr:cNvPr id="12" name="그림 11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0" y="13754100"/>
          <a:ext cx="4800600" cy="41814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104</xdr:row>
      <xdr:rowOff>85724</xdr:rowOff>
    </xdr:from>
    <xdr:to>
      <xdr:col>8</xdr:col>
      <xdr:colOff>276225</xdr:colOff>
      <xdr:row>128</xdr:row>
      <xdr:rowOff>104775</xdr:rowOff>
    </xdr:to>
    <xdr:pic macro="" fPublished="0">
      <xdr:nvPicPr>
        <xdr:cNvPr id="13" name="그림 12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0" y="17916526"/>
          <a:ext cx="6372225" cy="41338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0</xdr:row>
      <xdr:rowOff>0</xdr:rowOff>
    </xdr:from>
    <xdr:to>
      <xdr:col>9</xdr:col>
      <xdr:colOff>476250</xdr:colOff>
      <xdr:row>16</xdr:row>
      <xdr:rowOff>114300</xdr:rowOff>
    </xdr:to>
    <xdr:pic macro="" fPublished="0">
      <xdr:nvPicPr>
        <xdr:cNvPr id="14" name="그림 13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0" y="0"/>
          <a:ext cx="7334250" cy="2857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16</xdr:row>
      <xdr:rowOff>66675</xdr:rowOff>
    </xdr:from>
    <xdr:to>
      <xdr:col>8</xdr:col>
      <xdr:colOff>352425</xdr:colOff>
      <xdr:row>42</xdr:row>
      <xdr:rowOff>123824</xdr:rowOff>
    </xdr:to>
    <xdr:pic macro="" fPublished="0">
      <xdr:nvPicPr>
        <xdr:cNvPr id="15" name="그림 14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0" y="2809875"/>
          <a:ext cx="6448425" cy="45148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19050</xdr:colOff>
      <xdr:row>42</xdr:row>
      <xdr:rowOff>152400</xdr:rowOff>
    </xdr:from>
    <xdr:to>
      <xdr:col>10</xdr:col>
      <xdr:colOff>352425</xdr:colOff>
      <xdr:row>67</xdr:row>
      <xdr:rowOff>161925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19050" y="7353300"/>
          <a:ext cx="7953374" cy="4295775"/>
        </a:xfrm>
        <a:prstGeom prst="rect">
          <a:avLst/>
        </a:prstGeom>
      </xdr:spPr>
    </xdr:pic>
    <xdr:clientData fLocksWithSheet="1" fPrintsWithSheet="1"/>
  </xdr:twoCellAnchor>
</xdr:wsDr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(&#47924;&#54617;&#50668;&#51088;&#44256;&#46321;&#54617;&#44368;-15945%20(&#52392;&#48512;))%20(&#47924;&#54617;&#50668;&#44256;)2026&#54617;&#45380;&#46020;%20&#51077;&#54617;&#49373;%20&#44368;&#50977;&#44284;&#51221;%20&#54617;&#51216;%20&#48176;&#45817;&#54364;(2022%20&#44060;&#51221;%20&#44368;&#50977;&#44284;&#51221;)(&#51068;&#48152;&#44284;&#51221;)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배당표 작성 요령"/>
      <x:sheetName val="2026입학생 (일반과정)"/>
      <x:sheetName val="데이터베이스"/>
    </x:sheetNames>
    <x:sheetDataSet>
      <x:sheetData sheetId="0" refreshError="0"/>
      <x:sheetData sheetId="1" refreshError="0"/>
      <x:sheetData sheetId="2" refreshError="0">
        <x:row r="2">
          <x:cell r="A2" t="str">
            <x:v>국 어</x:v>
          </x:cell>
          <x:cell r="D2" t="str">
            <x:v>공통</x:v>
          </x:cell>
        </x:row>
        <x:row r="3">
          <x:cell r="A3" t="str">
            <x:v>수 학</x:v>
          </x:cell>
          <x:cell r="D3" t="str">
            <x:v>일반</x:v>
          </x:cell>
        </x:row>
        <x:row r="4">
          <x:cell r="A4" t="str">
            <x:v>영 어</x:v>
          </x:cell>
          <x:cell r="D4" t="str">
            <x:v>진로</x:v>
          </x:cell>
        </x:row>
        <x:row r="5">
          <x:cell r="A5" t="str">
            <x:v>사 회
(역사/도덕 포함)</x:v>
          </x:cell>
          <x:cell r="D5" t="str">
            <x:v>융합</x:v>
          </x:cell>
        </x:row>
        <x:row r="6">
          <x:cell r="A6" t="str">
            <x:v>과 학</x:v>
          </x:cell>
        </x:row>
        <x:row r="7">
          <x:cell r="A7" t="str">
            <x:v>체 육</x:v>
          </x:cell>
        </x:row>
        <x:row r="8">
          <x:cell r="A8" t="str">
            <x:v>예 술</x:v>
          </x:cell>
        </x:row>
        <x:row r="9">
          <x:cell r="A9" t="str">
            <x:v>기술∙가정/정보</x:v>
          </x:cell>
        </x:row>
        <x:row r="10">
          <x:cell r="A10" t="str">
            <x:v>제2외국어/한문</x:v>
          </x:cell>
        </x:row>
        <x:row r="11">
          <x:cell r="A11" t="str">
            <x:v>교 양</x:v>
          </x:cell>
        </x:row>
        <x:row r="13">
          <x:cell r="D13" t="str">
            <x:v>과목명</x:v>
          </x:cell>
          <x:cell r="E13" t="str">
            <x:v>기본학점</x:v>
          </x:cell>
        </x:row>
        <x:row r="14">
          <x:cell r="D14" t="str">
            <x:v>공통국어1</x:v>
          </x:cell>
          <x:cell r="E14">
            <x:v>4</x:v>
          </x:cell>
          <x:cell r="J14" t="str">
            <x:v>특목고 선택 과목</x:v>
          </x:cell>
          <x:cell r="K14" t="str">
            <x:v>공유캠퍼스</x:v>
          </x:cell>
        </x:row>
        <x:row r="15">
          <x:cell r="D15" t="str">
            <x:v>공통국어2</x:v>
          </x:cell>
          <x:cell r="E15">
            <x:v>4</x:v>
          </x:cell>
          <x:cell r="J15" t="str">
            <x:v>전문 교과</x:v>
          </x:cell>
          <x:cell r="K15" t="str">
            <x:v>온라인학교</x:v>
          </x:cell>
        </x:row>
        <x:row r="16">
          <x:cell r="D16" t="str">
            <x:v>공통수학1</x:v>
          </x:cell>
          <x:cell r="E16">
            <x:v>4</x:v>
          </x:cell>
          <x:cell r="J16" t="str">
            <x:v>교육감 승인 과목</x:v>
          </x:cell>
          <x:cell r="K16" t="str">
            <x:v>학교 밖 교육</x:v>
          </x:cell>
        </x:row>
        <x:row r="17">
          <x:cell r="D17" t="str">
            <x:v>공통수학2</x:v>
          </x:cell>
          <x:cell r="E17">
            <x:v>4</x:v>
          </x:cell>
          <x:cell r="J17" t="str">
            <x:v>교육감 승인 과목(특목고)</x:v>
          </x:cell>
        </x:row>
        <x:row r="18">
          <x:cell r="D18" t="str">
            <x:v>기본수학1</x:v>
          </x:cell>
          <x:cell r="E18">
            <x:v>4</x:v>
          </x:cell>
          <x:cell r="J18" t="str">
            <x:v>교육감 승인 과목(전문)</x:v>
          </x:cell>
        </x:row>
        <x:row r="19">
          <x:cell r="D19" t="str">
            <x:v>기본수학2</x:v>
          </x:cell>
          <x:cell r="E19">
            <x:v>4</x:v>
          </x:cell>
          <x:cell r="J19" t="str">
            <x:v>타 시·도 교육감 승인 과목</x:v>
          </x:cell>
        </x:row>
        <x:row r="20">
          <x:cell r="D20" t="str">
            <x:v>공통영어1</x:v>
          </x:cell>
          <x:cell r="E20">
            <x:v>4</x:v>
          </x:cell>
          <x:cell r="J20" t="str">
            <x:v>타 시·도 교육감 승인 과목(특목고)</x:v>
          </x:cell>
        </x:row>
        <x:row r="21">
          <x:cell r="D21" t="str">
            <x:v>공통영어2</x:v>
          </x:cell>
          <x:cell r="E21">
            <x:v>4</x:v>
          </x:cell>
          <x:cell r="J21" t="str">
            <x:v>타 시·도 교육감 승인 과목(전문)</x:v>
          </x:cell>
        </x:row>
        <x:row r="22">
          <x:cell r="D22" t="str">
            <x:v>기본영어1</x:v>
          </x:cell>
          <x:cell r="E22">
            <x:v>4</x:v>
          </x:cell>
        </x:row>
        <x:row r="23">
          <x:cell r="D23" t="str">
            <x:v>기본영어2</x:v>
          </x:cell>
          <x:cell r="E23">
            <x:v>4</x:v>
          </x:cell>
        </x:row>
        <x:row r="24">
          <x:cell r="D24" t="str">
            <x:v>한국사1</x:v>
          </x:cell>
          <x:cell r="E24">
            <x:v>3</x:v>
          </x:cell>
        </x:row>
        <x:row r="25">
          <x:cell r="D25" t="str">
            <x:v>한국사2</x:v>
          </x:cell>
          <x:cell r="E25">
            <x:v>3</x:v>
          </x:cell>
        </x:row>
        <x:row r="26">
          <x:cell r="D26" t="str">
            <x:v>통합사회1</x:v>
          </x:cell>
          <x:cell r="E26">
            <x:v>4</x:v>
          </x:cell>
        </x:row>
        <x:row r="27">
          <x:cell r="D27" t="str">
            <x:v>통합사회2</x:v>
          </x:cell>
          <x:cell r="E27">
            <x:v>4</x:v>
          </x:cell>
        </x:row>
        <x:row r="28">
          <x:cell r="D28" t="str">
            <x:v>통합과학1</x:v>
          </x:cell>
          <x:cell r="E28">
            <x:v>4</x:v>
          </x:cell>
        </x:row>
        <x:row r="29">
          <x:cell r="D29" t="str">
            <x:v>통합과학2</x:v>
          </x:cell>
          <x:cell r="E29">
            <x:v>4</x:v>
          </x:cell>
        </x:row>
        <x:row r="30">
          <x:cell r="D30" t="str">
            <x:v>과학탐구실험1</x:v>
          </x:cell>
          <x:cell r="E30">
            <x:v>1</x:v>
          </x:cell>
        </x:row>
        <x:row r="31">
          <x:cell r="D31" t="str">
            <x:v>과학탐구실험2</x:v>
          </x:cell>
          <x:cell r="E31">
            <x:v>1</x:v>
          </x:cell>
        </x:row>
        <x:row r="32">
          <x:cell r="D32" t="str">
            <x:v xml:space="preserve">화법과 언어 </x:v>
          </x:cell>
          <x:cell r="E32">
            <x:v>4</x:v>
          </x:cell>
        </x:row>
        <x:row r="33">
          <x:cell r="D33" t="str">
            <x:v xml:space="preserve">독서와 작문 </x:v>
          </x:cell>
          <x:cell r="E33">
            <x:v>4</x:v>
          </x:cell>
        </x:row>
        <x:row r="34">
          <x:cell r="D34" t="str">
            <x:v>문학</x:v>
          </x:cell>
          <x:cell r="E34">
            <x:v>4</x:v>
          </x:cell>
        </x:row>
        <x:row r="35">
          <x:cell r="D35" t="str">
            <x:v>대수</x:v>
          </x:cell>
          <x:cell r="E35">
            <x:v>4</x:v>
          </x:cell>
        </x:row>
        <x:row r="36">
          <x:cell r="D36" t="str">
            <x:v>미적분Ⅰ</x:v>
          </x:cell>
          <x:cell r="E36">
            <x:v>4</x:v>
          </x:cell>
        </x:row>
        <x:row r="37">
          <x:cell r="D37" t="str">
            <x:v>확률과 통계</x:v>
          </x:cell>
          <x:cell r="E37">
            <x:v>4</x:v>
          </x:cell>
        </x:row>
        <x:row r="38">
          <x:cell r="D38" t="str">
            <x:v>영어Ⅰ</x:v>
          </x:cell>
          <x:cell r="E38">
            <x:v>4</x:v>
          </x:cell>
        </x:row>
        <x:row r="39">
          <x:cell r="D39" t="str">
            <x:v>영어Ⅱ</x:v>
          </x:cell>
          <x:cell r="E39">
            <x:v>4</x:v>
          </x:cell>
        </x:row>
        <x:row r="40">
          <x:cell r="D40" t="str">
            <x:v>영어 독해와 작문</x:v>
          </x:cell>
          <x:cell r="E40">
            <x:v>4</x:v>
          </x:cell>
        </x:row>
        <x:row r="41">
          <x:cell r="D41" t="str">
            <x:v>세계시민과 지리</x:v>
          </x:cell>
          <x:cell r="E41">
            <x:v>4</x:v>
          </x:cell>
        </x:row>
        <x:row r="42">
          <x:cell r="D42" t="str">
            <x:v>세계사</x:v>
          </x:cell>
          <x:cell r="E42">
            <x:v>4</x:v>
          </x:cell>
        </x:row>
        <x:row r="43">
          <x:cell r="D43" t="str">
            <x:v>사회와 문화</x:v>
          </x:cell>
          <x:cell r="E43">
            <x:v>4</x:v>
          </x:cell>
        </x:row>
        <x:row r="44">
          <x:cell r="D44" t="str">
            <x:v>현대사회와 윤리</x:v>
          </x:cell>
          <x:cell r="E44">
            <x:v>4</x:v>
          </x:cell>
        </x:row>
        <x:row r="45">
          <x:cell r="D45" t="str">
            <x:v>물리학</x:v>
          </x:cell>
          <x:cell r="E45">
            <x:v>4</x:v>
          </x:cell>
        </x:row>
        <x:row r="46">
          <x:cell r="D46" t="str">
            <x:v>화학</x:v>
          </x:cell>
          <x:cell r="E46">
            <x:v>4</x:v>
          </x:cell>
        </x:row>
        <x:row r="47">
          <x:cell r="D47" t="str">
            <x:v xml:space="preserve">생명과학 </x:v>
          </x:cell>
          <x:cell r="E47">
            <x:v>4</x:v>
          </x:cell>
        </x:row>
        <x:row r="48">
          <x:cell r="D48" t="str">
            <x:v>지구과학</x:v>
          </x:cell>
          <x:cell r="E48">
            <x:v>4</x:v>
          </x:cell>
        </x:row>
        <x:row r="49">
          <x:cell r="D49" t="str">
            <x:v>체육1</x:v>
          </x:cell>
          <x:cell r="E49">
            <x:v>3</x:v>
          </x:cell>
        </x:row>
        <x:row r="50">
          <x:cell r="D50" t="str">
            <x:v>체육2</x:v>
          </x:cell>
          <x:cell r="E50">
            <x:v>3</x:v>
          </x:cell>
        </x:row>
        <x:row r="51">
          <x:cell r="D51" t="str">
            <x:v>음악</x:v>
          </x:cell>
          <x:cell r="E51">
            <x:v>3</x:v>
          </x:cell>
        </x:row>
        <x:row r="52">
          <x:cell r="D52" t="str">
            <x:v>미술</x:v>
          </x:cell>
          <x:cell r="E52">
            <x:v>3</x:v>
          </x:cell>
        </x:row>
        <x:row r="53">
          <x:cell r="D53" t="str">
            <x:v>연극</x:v>
          </x:cell>
          <x:cell r="E53">
            <x:v>3</x:v>
          </x:cell>
        </x:row>
        <x:row r="54">
          <x:cell r="D54" t="str">
            <x:v>기술∙가정</x:v>
          </x:cell>
          <x:cell r="E54">
            <x:v>4</x:v>
          </x:cell>
        </x:row>
        <x:row r="55">
          <x:cell r="D55" t="str">
            <x:v>정보</x:v>
          </x:cell>
          <x:cell r="E55">
            <x:v>4</x:v>
          </x:cell>
        </x:row>
        <x:row r="56">
          <x:cell r="D56" t="str">
            <x:v xml:space="preserve">독일어 </x:v>
          </x:cell>
          <x:cell r="E56">
            <x:v>4</x:v>
          </x:cell>
        </x:row>
        <x:row r="57">
          <x:cell r="D57" t="str">
            <x:v>프랑스어</x:v>
          </x:cell>
          <x:cell r="E57">
            <x:v>4</x:v>
          </x:cell>
        </x:row>
        <x:row r="58">
          <x:cell r="D58" t="str">
            <x:v>스페인어</x:v>
          </x:cell>
          <x:cell r="E58">
            <x:v>4</x:v>
          </x:cell>
        </x:row>
        <x:row r="59">
          <x:cell r="D59" t="str">
            <x:v>중국어</x:v>
          </x:cell>
          <x:cell r="E59">
            <x:v>4</x:v>
          </x:cell>
        </x:row>
        <x:row r="60">
          <x:cell r="D60" t="str">
            <x:v xml:space="preserve">일본어 </x:v>
          </x:cell>
          <x:cell r="E60">
            <x:v>4</x:v>
          </x:cell>
        </x:row>
        <x:row r="61">
          <x:cell r="D61" t="str">
            <x:v>러시아어</x:v>
          </x:cell>
          <x:cell r="E61">
            <x:v>4</x:v>
          </x:cell>
        </x:row>
        <x:row r="62">
          <x:cell r="D62" t="str">
            <x:v>아랍어</x:v>
          </x:cell>
          <x:cell r="E62">
            <x:v>4</x:v>
          </x:cell>
        </x:row>
        <x:row r="63">
          <x:cell r="D63" t="str">
            <x:v>베트남어</x:v>
          </x:cell>
          <x:cell r="E63">
            <x:v>4</x:v>
          </x:cell>
        </x:row>
        <x:row r="64">
          <x:cell r="D64" t="str">
            <x:v>한문</x:v>
          </x:cell>
          <x:cell r="E64">
            <x:v>4</x:v>
          </x:cell>
        </x:row>
        <x:row r="65">
          <x:cell r="D65" t="str">
            <x:v xml:space="preserve">진로와 직업 </x:v>
          </x:cell>
          <x:cell r="E65">
            <x:v>3</x:v>
          </x:cell>
        </x:row>
        <x:row r="66">
          <x:cell r="D66" t="str">
            <x:v>생태와 환경</x:v>
          </x:cell>
          <x:cell r="E66">
            <x:v>3</x:v>
          </x:cell>
        </x:row>
        <x:row r="67">
          <x:cell r="D67" t="str">
            <x:v xml:space="preserve">주제 탐구 독서 </x:v>
          </x:cell>
          <x:cell r="E67">
            <x:v>4</x:v>
          </x:cell>
        </x:row>
        <x:row r="68">
          <x:cell r="D68" t="str">
            <x:v>문학과 영상</x:v>
          </x:cell>
          <x:cell r="E68">
            <x:v>4</x:v>
          </x:cell>
        </x:row>
        <x:row r="69">
          <x:cell r="D69" t="str">
            <x:v>직무 의사소통</x:v>
          </x:cell>
          <x:cell r="E69">
            <x:v>4</x:v>
          </x:cell>
        </x:row>
        <x:row r="70">
          <x:cell r="D70" t="str">
            <x:v>기하</x:v>
          </x:cell>
          <x:cell r="E70">
            <x:v>4</x:v>
          </x:cell>
        </x:row>
        <x:row r="71">
          <x:cell r="D71" t="str">
            <x:v>미적분Ⅱ</x:v>
          </x:cell>
          <x:cell r="E71">
            <x:v>4</x:v>
          </x:cell>
        </x:row>
        <x:row r="72">
          <x:cell r="D72" t="str">
            <x:v>경제 수학</x:v>
          </x:cell>
          <x:cell r="E72">
            <x:v>4</x:v>
          </x:cell>
        </x:row>
        <x:row r="73">
          <x:cell r="D73" t="str">
            <x:v>인공지능 수학</x:v>
          </x:cell>
          <x:cell r="E73">
            <x:v>4</x:v>
          </x:cell>
        </x:row>
        <x:row r="74">
          <x:cell r="D74" t="str">
            <x:v>직무 수학</x:v>
          </x:cell>
          <x:cell r="E74">
            <x:v>4</x:v>
          </x:cell>
        </x:row>
        <x:row r="75">
          <x:cell r="D75" t="str">
            <x:v>영미 문학 읽기</x:v>
          </x:cell>
          <x:cell r="E75">
            <x:v>4</x:v>
          </x:cell>
        </x:row>
        <x:row r="76">
          <x:cell r="D76" t="str">
            <x:v>영어 발표와 토론</x:v>
          </x:cell>
          <x:cell r="E76">
            <x:v>4</x:v>
          </x:cell>
        </x:row>
        <x:row r="77">
          <x:cell r="D77" t="str">
            <x:v xml:space="preserve">심화 영어 </x:v>
          </x:cell>
          <x:cell r="E77">
            <x:v>4</x:v>
          </x:cell>
        </x:row>
        <x:row r="78">
          <x:cell r="D78" t="str">
            <x:v xml:space="preserve">심화 영어 독해와 작문 </x:v>
          </x:cell>
          <x:cell r="E78">
            <x:v>4</x:v>
          </x:cell>
        </x:row>
        <x:row r="79">
          <x:cell r="D79" t="str">
            <x:v>직무 영어</x:v>
          </x:cell>
          <x:cell r="E79">
            <x:v>4</x:v>
          </x:cell>
        </x:row>
        <x:row r="80">
          <x:cell r="D80" t="str">
            <x:v>한국지리 탐구</x:v>
          </x:cell>
          <x:cell r="E80">
            <x:v>4</x:v>
          </x:cell>
        </x:row>
        <x:row r="81">
          <x:cell r="D81" t="str">
            <x:v xml:space="preserve">도시의 미래 탐구 </x:v>
          </x:cell>
          <x:cell r="E81">
            <x:v>4</x:v>
          </x:cell>
        </x:row>
        <x:row r="82">
          <x:cell r="D82" t="str">
            <x:v>동아시아 역사 기행</x:v>
          </x:cell>
          <x:cell r="E82">
            <x:v>4</x:v>
          </x:cell>
        </x:row>
        <x:row r="83">
          <x:cell r="D83" t="str">
            <x:v>정치</x:v>
          </x:cell>
          <x:cell r="E83">
            <x:v>4</x:v>
          </x:cell>
        </x:row>
        <x:row r="84">
          <x:cell r="D84" t="str">
            <x:v xml:space="preserve">법과 사회 </x:v>
          </x:cell>
          <x:cell r="E84">
            <x:v>4</x:v>
          </x:cell>
        </x:row>
        <x:row r="85">
          <x:cell r="D85" t="str">
            <x:v>경제</x:v>
          </x:cell>
          <x:cell r="E85">
            <x:v>4</x:v>
          </x:cell>
        </x:row>
        <x:row r="86">
          <x:cell r="D86" t="str">
            <x:v xml:space="preserve">윤리와 사상 </x:v>
          </x:cell>
          <x:cell r="E86">
            <x:v>4</x:v>
          </x:cell>
        </x:row>
        <x:row r="87">
          <x:cell r="D87" t="str">
            <x:v>인문학과 윤리</x:v>
          </x:cell>
          <x:cell r="E87">
            <x:v>4</x:v>
          </x:cell>
        </x:row>
        <x:row r="88">
          <x:cell r="D88" t="str">
            <x:v>국제 관계의 이해</x:v>
          </x:cell>
          <x:cell r="E88">
            <x:v>4</x:v>
          </x:cell>
        </x:row>
        <x:row r="89">
          <x:cell r="D89" t="str">
            <x:v xml:space="preserve">역학과 에너지 </x:v>
          </x:cell>
          <x:cell r="E89">
            <x:v>4</x:v>
          </x:cell>
        </x:row>
        <x:row r="90">
          <x:cell r="D90" t="str">
            <x:v>전자기와 양자</x:v>
          </x:cell>
          <x:cell r="E90">
            <x:v>4</x:v>
          </x:cell>
        </x:row>
        <x:row r="91">
          <x:cell r="D91" t="str">
            <x:v xml:space="preserve">물질과 에너지 </x:v>
          </x:cell>
          <x:cell r="E91">
            <x:v>4</x:v>
          </x:cell>
        </x:row>
        <x:row r="92">
          <x:cell r="D92" t="str">
            <x:v>화학 반응의 세계</x:v>
          </x:cell>
          <x:cell r="E92">
            <x:v>4</x:v>
          </x:cell>
        </x:row>
        <x:row r="93">
          <x:cell r="D93" t="str">
            <x:v xml:space="preserve">세포와 물질대사 </x:v>
          </x:cell>
          <x:cell r="E93">
            <x:v>4</x:v>
          </x:cell>
        </x:row>
        <x:row r="94">
          <x:cell r="D94" t="str">
            <x:v>생물의 유전</x:v>
          </x:cell>
          <x:cell r="E94">
            <x:v>4</x:v>
          </x:cell>
        </x:row>
        <x:row r="95">
          <x:cell r="D95" t="str">
            <x:v xml:space="preserve">지구시스템과학 </x:v>
          </x:cell>
          <x:cell r="E95">
            <x:v>4</x:v>
          </x:cell>
        </x:row>
        <x:row r="96">
          <x:cell r="D96" t="str">
            <x:v>행성우주과학</x:v>
          </x:cell>
          <x:cell r="E96">
            <x:v>4</x:v>
          </x:cell>
        </x:row>
        <x:row r="97">
          <x:cell r="D97" t="str">
            <x:v xml:space="preserve">운동과 건강 </x:v>
          </x:cell>
          <x:cell r="E97">
            <x:v>3</x:v>
          </x:cell>
        </x:row>
        <x:row r="98">
          <x:cell r="D98" t="str">
            <x:v>스포츠 문화</x:v>
          </x:cell>
          <x:cell r="E98">
            <x:v>2</x:v>
          </x:cell>
        </x:row>
        <x:row r="99">
          <x:cell r="D99" t="str">
            <x:v>스포츠 과학</x:v>
          </x:cell>
          <x:cell r="E99">
            <x:v>2</x:v>
          </x:cell>
        </x:row>
        <x:row r="100">
          <x:cell r="D100" t="str">
            <x:v>음악 연주와 창작</x:v>
          </x:cell>
          <x:cell r="E100">
            <x:v>3</x:v>
          </x:cell>
        </x:row>
        <x:row r="101">
          <x:cell r="D101" t="str">
            <x:v>음악 감상과 비평</x:v>
          </x:cell>
          <x:cell r="E101">
            <x:v>3</x:v>
          </x:cell>
        </x:row>
        <x:row r="102">
          <x:cell r="D102" t="str">
            <x:v xml:space="preserve">미술 창작 </x:v>
          </x:cell>
          <x:cell r="E102">
            <x:v>3</x:v>
          </x:cell>
        </x:row>
        <x:row r="103">
          <x:cell r="D103" t="str">
            <x:v>미술 감상과 비평</x:v>
          </x:cell>
          <x:cell r="E103">
            <x:v>3</x:v>
          </x:cell>
        </x:row>
        <x:row r="104">
          <x:cell r="D104" t="str">
            <x:v>로봇과 공학세계</x:v>
          </x:cell>
          <x:cell r="E104">
            <x:v>4</x:v>
          </x:cell>
        </x:row>
        <x:row r="105">
          <x:cell r="D105" t="str">
            <x:v>생활과학 탐구</x:v>
          </x:cell>
          <x:cell r="E105">
            <x:v>4</x:v>
          </x:cell>
        </x:row>
        <x:row r="106">
          <x:cell r="D106" t="str">
            <x:v xml:space="preserve">인공지능 기초 </x:v>
          </x:cell>
          <x:cell r="E106">
            <x:v>4</x:v>
          </x:cell>
        </x:row>
        <x:row r="107">
          <x:cell r="D107" t="str">
            <x:v>데이터 과학</x:v>
          </x:cell>
          <x:cell r="E107">
            <x:v>4</x:v>
          </x:cell>
        </x:row>
        <x:row r="108">
          <x:cell r="D108" t="str">
            <x:v>독일어 회화</x:v>
          </x:cell>
          <x:cell r="E108">
            <x:v>4</x:v>
          </x:cell>
        </x:row>
        <x:row r="109">
          <x:cell r="D109" t="str">
            <x:v xml:space="preserve">프랑스어 회화 </x:v>
          </x:cell>
          <x:cell r="E109">
            <x:v>4</x:v>
          </x:cell>
        </x:row>
        <x:row r="110">
          <x:cell r="D110" t="str">
            <x:v>스페인어 회화</x:v>
          </x:cell>
          <x:cell r="E110">
            <x:v>4</x:v>
          </x:cell>
        </x:row>
        <x:row r="111">
          <x:cell r="D111" t="str">
            <x:v xml:space="preserve">중국어 회화 </x:v>
          </x:cell>
          <x:cell r="E111">
            <x:v>4</x:v>
          </x:cell>
        </x:row>
        <x:row r="112">
          <x:cell r="D112" t="str">
            <x:v>일본어 회화</x:v>
          </x:cell>
          <x:cell r="E112">
            <x:v>4</x:v>
          </x:cell>
        </x:row>
        <x:row r="113">
          <x:cell r="D113" t="str">
            <x:v xml:space="preserve">러시아어 회화 </x:v>
          </x:cell>
          <x:cell r="E113">
            <x:v>4</x:v>
          </x:cell>
        </x:row>
        <x:row r="114">
          <x:cell r="D114" t="str">
            <x:v>아랍어 회화</x:v>
          </x:cell>
          <x:cell r="E114">
            <x:v>4</x:v>
          </x:cell>
        </x:row>
        <x:row r="115">
          <x:cell r="D115" t="str">
            <x:v>베트남어 회화</x:v>
          </x:cell>
          <x:cell r="E115">
            <x:v>4</x:v>
          </x:cell>
        </x:row>
        <x:row r="116">
          <x:cell r="D116" t="str">
            <x:v>심화 독일어</x:v>
          </x:cell>
          <x:cell r="E116">
            <x:v>4</x:v>
          </x:cell>
        </x:row>
        <x:row r="117">
          <x:cell r="D117" t="str">
            <x:v xml:space="preserve">심화 프랑스어 </x:v>
          </x:cell>
          <x:cell r="E117">
            <x:v>4</x:v>
          </x:cell>
        </x:row>
        <x:row r="118">
          <x:cell r="D118" t="str">
            <x:v>심화 스페인어</x:v>
          </x:cell>
          <x:cell r="E118">
            <x:v>4</x:v>
          </x:cell>
        </x:row>
        <x:row r="119">
          <x:cell r="D119" t="str">
            <x:v xml:space="preserve">심화 중국어 </x:v>
          </x:cell>
          <x:cell r="E119">
            <x:v>4</x:v>
          </x:cell>
        </x:row>
        <x:row r="120">
          <x:cell r="D120" t="str">
            <x:v>심화 일본어</x:v>
          </x:cell>
          <x:cell r="E120">
            <x:v>4</x:v>
          </x:cell>
        </x:row>
        <x:row r="121">
          <x:cell r="D121" t="str">
            <x:v xml:space="preserve">심화 러시아어 </x:v>
          </x:cell>
          <x:cell r="E121">
            <x:v>4</x:v>
          </x:cell>
        </x:row>
        <x:row r="122">
          <x:cell r="D122" t="str">
            <x:v>심화 아랍어</x:v>
          </x:cell>
          <x:cell r="E122">
            <x:v>4</x:v>
          </x:cell>
        </x:row>
        <x:row r="123">
          <x:cell r="D123" t="str">
            <x:v>심화 베트남어</x:v>
          </x:cell>
          <x:cell r="E123">
            <x:v>4</x:v>
          </x:cell>
        </x:row>
        <x:row r="124">
          <x:cell r="D124" t="str">
            <x:v>한문 고전 읽기</x:v>
          </x:cell>
          <x:cell r="E124">
            <x:v>4</x:v>
          </x:cell>
        </x:row>
        <x:row r="125">
          <x:cell r="D125" t="str">
            <x:v>인간과 철학</x:v>
          </x:cell>
          <x:cell r="E125">
            <x:v>3</x:v>
          </x:cell>
        </x:row>
        <x:row r="126">
          <x:cell r="D126" t="str">
            <x:v xml:space="preserve">논리와 사고 </x:v>
          </x:cell>
          <x:cell r="E126">
            <x:v>3</x:v>
          </x:cell>
        </x:row>
        <x:row r="127">
          <x:cell r="D127" t="str">
            <x:v>인간과 심리</x:v>
          </x:cell>
          <x:cell r="E127">
            <x:v>3</x:v>
          </x:cell>
        </x:row>
        <x:row r="128">
          <x:cell r="D128" t="str">
            <x:v xml:space="preserve">교육의 이해 </x:v>
          </x:cell>
          <x:cell r="E128">
            <x:v>3</x:v>
          </x:cell>
        </x:row>
        <x:row r="129">
          <x:cell r="D129" t="str">
            <x:v>삶과 종교</x:v>
          </x:cell>
          <x:cell r="E129">
            <x:v>3</x:v>
          </x:cell>
        </x:row>
        <x:row r="130">
          <x:cell r="D130" t="str">
            <x:v>보건</x:v>
          </x:cell>
          <x:cell r="E130">
            <x:v>3</x:v>
          </x:cell>
        </x:row>
        <x:row r="131">
          <x:cell r="D131" t="str">
            <x:v>독서 토론과 글쓰기</x:v>
          </x:cell>
          <x:cell r="E131">
            <x:v>4</x:v>
          </x:cell>
        </x:row>
        <x:row r="132">
          <x:cell r="D132" t="str">
            <x:v xml:space="preserve">매체 의사소통 </x:v>
          </x:cell>
          <x:cell r="E132">
            <x:v>4</x:v>
          </x:cell>
        </x:row>
        <x:row r="133">
          <x:cell r="D133" t="str">
            <x:v>언어생활 탐구</x:v>
          </x:cell>
          <x:cell r="E133">
            <x:v>4</x:v>
          </x:cell>
        </x:row>
        <x:row r="134">
          <x:cell r="D134" t="str">
            <x:v xml:space="preserve">수학과 문화 </x:v>
          </x:cell>
          <x:cell r="E134">
            <x:v>4</x:v>
          </x:cell>
        </x:row>
        <x:row r="135">
          <x:cell r="D135" t="str">
            <x:v>실용 통계</x:v>
          </x:cell>
          <x:cell r="E135">
            <x:v>4</x:v>
          </x:cell>
        </x:row>
        <x:row r="136">
          <x:cell r="D136" t="str">
            <x:v>수학과제 탐구</x:v>
          </x:cell>
          <x:cell r="E136">
            <x:v>4</x:v>
          </x:cell>
        </x:row>
        <x:row r="137">
          <x:cell r="D137" t="str">
            <x:v xml:space="preserve">실생활 영어 회화 </x:v>
          </x:cell>
          <x:cell r="E137">
            <x:v>4</x:v>
          </x:cell>
        </x:row>
        <x:row r="138">
          <x:cell r="D138" t="str">
            <x:v xml:space="preserve">미디어 영어 </x:v>
          </x:cell>
          <x:cell r="E138">
            <x:v>4</x:v>
          </x:cell>
        </x:row>
        <x:row r="139">
          <x:cell r="D139" t="str">
            <x:v>세계 문화와 영어</x:v>
          </x:cell>
          <x:cell r="E139">
            <x:v>4</x:v>
          </x:cell>
        </x:row>
        <x:row r="140">
          <x:cell r="D140" t="str">
            <x:v>여행지리</x:v>
          </x:cell>
          <x:cell r="E140">
            <x:v>4</x:v>
          </x:cell>
        </x:row>
        <x:row r="141">
          <x:cell r="D141" t="str">
            <x:v>역사로 탐구하는 현대 세계</x:v>
          </x:cell>
          <x:cell r="E141">
            <x:v>4</x:v>
          </x:cell>
        </x:row>
        <x:row r="142">
          <x:cell r="D142" t="str">
            <x:v>사회문제 탐구</x:v>
          </x:cell>
          <x:cell r="E142">
            <x:v>4</x:v>
          </x:cell>
        </x:row>
        <x:row r="143">
          <x:cell r="D143" t="str">
            <x:v>금융과 경제생활</x:v>
          </x:cell>
          <x:cell r="E143">
            <x:v>4</x:v>
          </x:cell>
        </x:row>
        <x:row r="144">
          <x:cell r="D144" t="str">
            <x:v>윤리문제 탐구</x:v>
          </x:cell>
          <x:cell r="E144">
            <x:v>4</x:v>
          </x:cell>
        </x:row>
        <x:row r="145">
          <x:cell r="D145" t="str">
            <x:v>기후변화와 지속가능한 세계</x:v>
          </x:cell>
          <x:cell r="E145">
            <x:v>4</x:v>
          </x:cell>
        </x:row>
        <x:row r="146">
          <x:cell r="D146" t="str">
            <x:v>과학의 역사와 문화</x:v>
          </x:cell>
          <x:cell r="E146">
            <x:v>4</x:v>
          </x:cell>
        </x:row>
        <x:row r="147">
          <x:cell r="D147" t="str">
            <x:v>기후변화와 환경생태</x:v>
          </x:cell>
          <x:cell r="E147">
            <x:v>4</x:v>
          </x:cell>
        </x:row>
        <x:row r="148">
          <x:cell r="D148" t="str">
            <x:v>융합과학 탐구</x:v>
          </x:cell>
          <x:cell r="E148">
            <x:v>4</x:v>
          </x:cell>
        </x:row>
        <x:row r="149">
          <x:cell r="D149" t="str">
            <x:v xml:space="preserve">스포츠 생활1 </x:v>
          </x:cell>
          <x:cell r="E149">
            <x:v>3</x:v>
          </x:cell>
        </x:row>
        <x:row r="150">
          <x:cell r="D150" t="str">
            <x:v xml:space="preserve">스포츠 생활2 </x:v>
          </x:cell>
          <x:cell r="E150">
            <x:v>3</x:v>
          </x:cell>
        </x:row>
        <x:row r="151">
          <x:cell r="D151" t="str">
            <x:v>음악과 미디어</x:v>
          </x:cell>
          <x:cell r="E151">
            <x:v>3</x:v>
          </x:cell>
        </x:row>
        <x:row r="152">
          <x:cell r="D152" t="str">
            <x:v>미술과 매체</x:v>
          </x:cell>
          <x:cell r="E152">
            <x:v>3</x:v>
          </x:cell>
        </x:row>
        <x:row r="153">
          <x:cell r="D153" t="str">
            <x:v>창의 공학 설계</x:v>
          </x:cell>
          <x:cell r="E153">
            <x:v>4</x:v>
          </x:cell>
        </x:row>
        <x:row r="154">
          <x:cell r="D154" t="str">
            <x:v>지식 재산 일반</x:v>
          </x:cell>
          <x:cell r="E154">
            <x:v>4</x:v>
          </x:cell>
        </x:row>
        <x:row r="155">
          <x:cell r="D155" t="str">
            <x:v xml:space="preserve">생애 설계와 자립 </x:v>
          </x:cell>
          <x:cell r="E155">
            <x:v>2</x:v>
          </x:cell>
        </x:row>
        <x:row r="156">
          <x:cell r="D156" t="str">
            <x:v>아동발달과 부모</x:v>
          </x:cell>
          <x:cell r="E156">
            <x:v>4</x:v>
          </x:cell>
        </x:row>
        <x:row r="157">
          <x:cell r="D157" t="str">
            <x:v>소프트웨어와 생활</x:v>
          </x:cell>
          <x:cell r="E157">
            <x:v>4</x:v>
          </x:cell>
        </x:row>
        <x:row r="158">
          <x:cell r="D158" t="str">
            <x:v>독일어권 문화</x:v>
          </x:cell>
          <x:cell r="E158">
            <x:v>4</x:v>
          </x:cell>
        </x:row>
        <x:row r="159">
          <x:cell r="D159" t="str">
            <x:v>프랑스어권 문화</x:v>
          </x:cell>
          <x:cell r="E159">
            <x:v>4</x:v>
          </x:cell>
        </x:row>
        <x:row r="160">
          <x:cell r="D160" t="str">
            <x:v>스페인어권 문화</x:v>
          </x:cell>
          <x:cell r="E160">
            <x:v>4</x:v>
          </x:cell>
        </x:row>
        <x:row r="161">
          <x:cell r="D161" t="str">
            <x:v xml:space="preserve">중국 문화 </x:v>
          </x:cell>
          <x:cell r="E161">
            <x:v>4</x:v>
          </x:cell>
        </x:row>
        <x:row r="162">
          <x:cell r="D162" t="str">
            <x:v>일본 문화</x:v>
          </x:cell>
          <x:cell r="E162">
            <x:v>4</x:v>
          </x:cell>
        </x:row>
        <x:row r="163">
          <x:cell r="D163" t="str">
            <x:v xml:space="preserve">러시아 문화 </x:v>
          </x:cell>
          <x:cell r="E163">
            <x:v>4</x:v>
          </x:cell>
        </x:row>
        <x:row r="164">
          <x:cell r="D164" t="str">
            <x:v>아랍 문화</x:v>
          </x:cell>
          <x:cell r="E164">
            <x:v>4</x:v>
          </x:cell>
        </x:row>
        <x:row r="165">
          <x:cell r="D165" t="str">
            <x:v>베트남 문화</x:v>
          </x:cell>
          <x:cell r="E165">
            <x:v>4</x:v>
          </x:cell>
        </x:row>
        <x:row r="166">
          <x:cell r="D166" t="str">
            <x:v>언어생활과 한자</x:v>
          </x:cell>
          <x:cell r="E166">
            <x:v>4</x:v>
          </x:cell>
        </x:row>
        <x:row r="167">
          <x:cell r="D167" t="str">
            <x:v xml:space="preserve">인간과 경제활동 </x:v>
          </x:cell>
          <x:cell r="E167">
            <x:v>3</x:v>
          </x:cell>
        </x:row>
        <x:row r="168">
          <x:cell r="D168" t="str">
            <x:v>논술</x:v>
          </x:cell>
          <x:cell r="E168">
            <x:v>3</x:v>
          </x:cell>
        </x:row>
      </x:sheetData>
    </x:sheetDataSet>
  </x:externalBook>
</x:externalLink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4" name="표3_2_5" displayName="표3_2_5" ref="E7:H88" headerRowCount="0" totalsRowShown="0" headerRowDxfId="7" dataDxfId="8" tableBorderDxfId="6" totalsRowBorderDxfId="9">
  <x:tableColumns count="4">
    <x:tableColumn id="1" name="기준_x000A_학점" headerRowDxfId="4" dataDxfId="10"/>
    <x:tableColumn id="2" name="운영_x000A_학점" headerRowDxfId="3" dataDxfId="10"/>
    <x:tableColumn id="3" name="세로 막대형1" headerRowDxfId="2" dataDxfId="10"/>
    <x:tableColumn id="4" name="세로 막대형2" headerRowDxfId="2" dataDxfId="10"/>
  </x:tableColumns>
  <x:tableStyleInfo showFirstColumn="0" showLastColumn="0" showRowStripes="0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table" Target="../tables/table1.x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73" zoomScaleNormal="100" zoomScaleSheetLayoutView="100" workbookViewId="0">
      <x:selection activeCell="N6" activeCellId="0" sqref="N6:N6"/>
    </x:sheetView>
  </x:sheetViews>
  <x:sheetFormatPr defaultColWidth="8.88671875" defaultRowHeight="13.55000000000000071054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M168"/>
  <x:sheetViews>
    <x:sheetView topLeftCell="A1" zoomScaleNormal="100" zoomScaleSheetLayoutView="100" workbookViewId="0">
      <x:selection activeCell="B16" activeCellId="0" sqref="B16:B16"/>
    </x:sheetView>
  </x:sheetViews>
  <x:sheetFormatPr defaultColWidth="8.77734375" defaultRowHeight="11.94999999999999928946"/>
  <x:cols>
    <x:col min="1" max="1" width="15.88671875" style="9" customWidth="1"/>
    <x:col min="2" max="3" width="10.5546875" style="9" customWidth="1"/>
    <x:col min="4" max="16384" width="8.77734375" style="9"/>
  </x:cols>
  <x:sheetData>
    <x:row r="1" spans="1:39" ht="23.89999999999999857891">
      <x:c r="A1" s="19" t="s">
        <x:v>37</x:v>
      </x:c>
      <x:c r="B1" s="20" t="s">
        <x:v>200</x:v>
      </x:c>
      <x:c r="C1" s="20" t="s">
        <x:v>153</x:v>
      </x:c>
      <x:c r="D1" s="7" t="s">
        <x:v>36</x:v>
      </x:c>
      <x:c r="E1" s="8" t="s">
        <x:v>146</x:v>
      </x:c>
      <x:c r="F1" s="8" t="s">
        <x:v>117</x:v>
      </x:c>
      <x:c r="G1" s="8" t="s">
        <x:v>141</x:v>
      </x:c>
      <x:c r="H1" s="8" t="s">
        <x:v>122</x:v>
      </x:c>
      <x:c r="I1" s="8" t="s">
        <x:v>78</x:v>
      </x:c>
      <x:c r="J1" s="8" t="s">
        <x:v>75</x:v>
      </x:c>
      <x:c r="K1" s="8" t="s">
        <x:v>159</x:v>
      </x:c>
      <x:c r="L1" s="8" t="s">
        <x:v>123</x:v>
      </x:c>
      <x:c r="M1" s="8" t="s">
        <x:v>115</x:v>
      </x:c>
      <x:c r="N1" s="8" t="s">
        <x:v>107</x:v>
      </x:c>
      <x:c r="O1" s="8" t="s">
        <x:v>109</x:v>
      </x:c>
      <x:c r="P1" s="8" t="s">
        <x:v>110</x:v>
      </x:c>
      <x:c r="Q1" s="8" t="s">
        <x:v>116</x:v>
      </x:c>
      <x:c r="R1" s="8" t="s">
        <x:v>136</x:v>
      </x:c>
      <x:c r="S1" s="8" t="s">
        <x:v>129</x:v>
      </x:c>
      <x:c r="T1" s="8" t="s">
        <x:v>160</x:v>
      </x:c>
      <x:c r="U1" s="8" t="s">
        <x:v>134</x:v>
      </x:c>
      <x:c r="V1" s="8" t="s">
        <x:v>118</x:v>
      </x:c>
      <x:c r="W1" s="8" t="s">
        <x:v>132</x:v>
      </x:c>
      <x:c r="X1" s="8" t="s">
        <x:v>100</x:v>
      </x:c>
      <x:c r="Y1" s="8" t="s">
        <x:v>133</x:v>
      </x:c>
      <x:c r="Z1" s="8" t="s">
        <x:v>114</x:v>
      </x:c>
      <x:c r="AA1" s="8" t="s">
        <x:v>140</x:v>
      </x:c>
      <x:c r="AB1" s="8" t="s">
        <x:v>156</x:v>
      </x:c>
      <x:c r="AC1" s="8" t="s">
        <x:v>126</x:v>
      </x:c>
      <x:c r="AD1" s="8" t="s">
        <x:v>138</x:v>
      </x:c>
      <x:c r="AE1" s="8" t="s">
        <x:v>154</x:v>
      </x:c>
      <x:c r="AF1" s="8" t="s">
        <x:v>124</x:v>
      </x:c>
      <x:c r="AG1" s="8" t="s">
        <x:v>145</x:v>
      </x:c>
      <x:c r="AH1" s="8" t="s">
        <x:v>150</x:v>
      </x:c>
      <x:c r="AI1" s="8" t="s">
        <x:v>144</x:v>
      </x:c>
      <x:c r="AJ1" s="8" t="s">
        <x:v>152</x:v>
      </x:c>
      <x:c r="AK1" s="8" t="s">
        <x:v>139</x:v>
      </x:c>
      <x:c r="AL1" s="8" t="s">
        <x:v>148</x:v>
      </x:c>
      <x:c r="AM1" s="8" t="s">
        <x:v>163</x:v>
      </x:c>
    </x:row>
    <x:row r="2" spans="1:39">
      <x:c r="A2" s="19" t="s">
        <x:v>214</x:v>
      </x:c>
      <x:c r="B2" s="19" t="s">
        <x:v>258</x:v>
      </x:c>
      <x:c r="C2" s="19" t="s">
        <x:v>36</x:v>
      </x:c>
      <x:c r="D2" s="7" t="s">
        <x:v>230</x:v>
      </x:c>
      <x:c r="E2" s="10" t="s">
        <x:v>21</x:v>
      </x:c>
      <x:c r="F2" s="10" t="s">
        <x:v>54</x:v>
      </x:c>
      <x:c r="G2" s="10" t="s">
        <x:v>178</x:v>
      </x:c>
      <x:c r="H2" s="10" t="s">
        <x:v>189</x:v>
      </x:c>
      <x:c r="I2" s="10" t="s">
        <x:v>66</x:v>
      </x:c>
      <x:c r="J2" s="10" t="s">
        <x:v>220</x:v>
      </x:c>
      <x:c r="K2" s="10" t="s">
        <x:v>233</x:v>
      </x:c>
      <x:c r="L2" s="10" t="s">
        <x:v>63</x:v>
      </x:c>
      <x:c r="M2" s="10" t="s">
        <x:v>55</x:v>
      </x:c>
      <x:c r="N2" s="10" t="s">
        <x:v>237</x:v>
      </x:c>
      <x:c r="O2" s="10" t="s">
        <x:v>191</x:v>
      </x:c>
      <x:c r="P2" s="10" t="s">
        <x:v>176</x:v>
      </x:c>
      <x:c r="Q2" s="10" t="s">
        <x:v>81</x:v>
      </x:c>
      <x:c r="R2" s="10" t="s">
        <x:v>168</x:v>
      </x:c>
      <x:c r="S2" s="11" t="s">
        <x:v>105</x:v>
      </x:c>
      <x:c r="T2" s="10" t="s">
        <x:v>47</x:v>
      </x:c>
      <x:c r="U2" s="10" t="s">
        <x:v>97</x:v>
      </x:c>
      <x:c r="V2" s="10" t="s">
        <x:v>261</x:v>
      </x:c>
      <x:c r="W2" s="10" t="s">
        <x:v>6</x:v>
      </x:c>
      <x:c r="X2" s="10" t="s">
        <x:v>194</x:v>
      </x:c>
      <x:c r="Y2" s="11" t="s">
        <x:v>251</x:v>
      </x:c>
      <x:c r="Z2" s="10" t="s">
        <x:v>128</x:v>
      </x:c>
      <x:c r="AA2" s="10" t="s">
        <x:v>208</x:v>
      </x:c>
      <x:c r="AB2" s="10" t="s">
        <x:v>241</x:v>
      </x:c>
      <x:c r="AC2" s="10" t="s">
        <x:v>173</x:v>
      </x:c>
      <x:c r="AD2" s="10" t="s">
        <x:v>49</x:v>
      </x:c>
      <x:c r="AE2" s="10" t="s">
        <x:v>52</x:v>
      </x:c>
      <x:c r="AF2" s="10" t="s">
        <x:v>186</x:v>
      </x:c>
      <x:c r="AG2" s="10" t="s">
        <x:v>7</x:v>
      </x:c>
      <x:c r="AH2" s="10" t="s">
        <x:v>62</x:v>
      </x:c>
      <x:c r="AI2" s="11" t="s">
        <x:v>113</x:v>
      </x:c>
      <x:c r="AJ2" s="10" t="s">
        <x:v>108</x:v>
      </x:c>
      <x:c r="AK2" s="10" t="s">
        <x:v>45</x:v>
      </x:c>
      <x:c r="AL2" s="11" t="s">
        <x:v>88</x:v>
      </x:c>
      <x:c r="AM2" s="10" t="s">
        <x:v>167</x:v>
      </x:c>
    </x:row>
    <x:row r="3" spans="1:39">
      <x:c r="A3" s="19" t="s">
        <x:v>240</x:v>
      </x:c>
      <x:c r="B3" s="19" t="s">
        <x:v>238</x:v>
      </x:c>
      <x:c r="C3" s="19" t="s">
        <x:v>36</x:v>
      </x:c>
      <x:c r="D3" s="7" t="s">
        <x:v>248</x:v>
      </x:c>
      <x:c r="E3" s="10" t="s">
        <x:v>27</x:v>
      </x:c>
      <x:c r="F3" s="10" t="s">
        <x:v>44</x:v>
      </x:c>
      <x:c r="G3" s="10" t="s">
        <x:v>67</x:v>
      </x:c>
      <x:c r="H3" s="10" t="s">
        <x:v>181</x:v>
      </x:c>
      <x:c r="I3" s="10" t="s">
        <x:v>38</x:v>
      </x:c>
      <x:c r="J3" s="10" t="s">
        <x:v>23</x:v>
      </x:c>
      <x:c r="K3" s="10" t="s">
        <x:v>51</x:v>
      </x:c>
      <x:c r="L3" s="10" t="s">
        <x:v>43</x:v>
      </x:c>
      <x:c r="M3" s="10" t="s">
        <x:v>26</x:v>
      </x:c>
      <x:c r="N3" s="11" t="s">
        <x:v>232</x:v>
      </x:c>
      <x:c r="O3" s="11" t="s">
        <x:v>2</x:v>
      </x:c>
      <x:c r="P3" s="10" t="s">
        <x:v>64</x:v>
      </x:c>
      <x:c r="Q3" s="10" t="s">
        <x:v>76</x:v>
      </x:c>
      <x:c r="R3" s="10" t="s">
        <x:v>265</x:v>
      </x:c>
      <x:c r="S3" s="10" t="s">
        <x:v>8</x:v>
      </x:c>
      <x:c r="T3" s="10" t="s">
        <x:v>12</x:v>
      </x:c>
      <x:c r="U3" s="10" t="s">
        <x:v>87</x:v>
      </x:c>
      <x:c r="V3" s="11" t="s">
        <x:v>266</x:v>
      </x:c>
      <x:c r="W3" s="10" t="s">
        <x:v>53</x:v>
      </x:c>
      <x:c r="X3" s="10" t="s">
        <x:v>182</x:v>
      </x:c>
      <x:c r="Y3" s="11" t="s">
        <x:v>224</x:v>
      </x:c>
      <x:c r="Z3" s="10" t="s">
        <x:v>60</x:v>
      </x:c>
      <x:c r="AA3" s="10" t="s">
        <x:v>206</x:v>
      </x:c>
      <x:c r="AB3" s="10" t="s">
        <x:v>234</x:v>
      </x:c>
      <x:c r="AC3" s="10" t="s">
        <x:v>172</x:v>
      </x:c>
      <x:c r="AD3" s="10" t="s">
        <x:v>32</x:v>
      </x:c>
      <x:c r="AE3" s="10" t="s">
        <x:v>246</x:v>
      </x:c>
      <x:c r="AF3" s="10" t="s">
        <x:v>135</x:v>
      </x:c>
      <x:c r="AG3" s="10" t="s">
        <x:v>166</x:v>
      </x:c>
      <x:c r="AH3" s="10" t="s">
        <x:v>86</x:v>
      </x:c>
      <x:c r="AI3" s="10" t="s">
        <x:v>184</x:v>
      </x:c>
      <x:c r="AJ3" s="10" t="s">
        <x:v>202</x:v>
      </x:c>
      <x:c r="AK3" s="10" t="s">
        <x:v>24</x:v>
      </x:c>
      <x:c r="AL3" s="10" t="s">
        <x:v>33</x:v>
      </x:c>
      <x:c r="AM3" s="10" t="s">
        <x:v>222</x:v>
      </x:c>
    </x:row>
    <x:row r="4" spans="1:38">
      <x:c r="A4" s="19" t="s">
        <x:v>252</x:v>
      </x:c>
      <x:c r="B4" s="19" t="s">
        <x:v>243</x:v>
      </x:c>
      <x:c r="C4" s="19" t="s">
        <x:v>36</x:v>
      </x:c>
      <x:c r="D4" s="7" t="s">
        <x:v>247</x:v>
      </x:c>
      <x:c r="E4" s="12"/>
      <x:c r="F4" s="10" t="s">
        <x:v>236</x:v>
      </x:c>
      <x:c r="G4" s="10" t="s">
        <x:v>41</x:v>
      </x:c>
      <x:c r="H4" s="10" t="s">
        <x:v>35</x:v>
      </x:c>
      <x:c r="I4" s="10" t="s">
        <x:v>34</x:v>
      </x:c>
      <x:c r="J4" s="10" t="s">
        <x:v>29</x:v>
      </x:c>
      <x:c r="K4" s="10" t="s">
        <x:v>96</x:v>
      </x:c>
      <x:c r="L4" s="10" t="s">
        <x:v>40</x:v>
      </x:c>
      <x:c r="M4" s="10" t="s">
        <x:v>28</x:v>
      </x:c>
      <x:c r="N4" s="10" t="s">
        <x:v>180</x:v>
      </x:c>
      <x:c r="O4" s="11" t="s">
        <x:v>127</x:v>
      </x:c>
      <x:c r="P4" s="10" t="s">
        <x:v>179</x:v>
      </x:c>
      <x:c r="Q4" s="10" t="s">
        <x:v>77</x:v>
      </x:c>
      <x:c r="R4" s="10" t="s">
        <x:v>93</x:v>
      </x:c>
      <x:c r="S4" s="10" t="s">
        <x:v>4</x:v>
      </x:c>
      <x:c r="T4" s="10" t="s">
        <x:v>89</x:v>
      </x:c>
      <x:c r="U4" s="10" t="s">
        <x:v>94</x:v>
      </x:c>
      <x:c r="V4" s="10" t="s">
        <x:v>90</x:v>
      </x:c>
      <x:c r="W4" s="10" t="s">
        <x:v>164</x:v>
      </x:c>
      <x:c r="X4" s="10" t="s">
        <x:v>74</x:v>
      </x:c>
      <x:c r="Z4" s="10" t="s">
        <x:v>95</x:v>
      </x:c>
      <x:c r="AB4" s="10" t="s">
        <x:v>223</x:v>
      </x:c>
      <x:c r="AC4" s="10" t="s">
        <x:v>91</x:v>
      </x:c>
      <x:c r="AF4" s="11" t="s">
        <x:v>193</x:v>
      </x:c>
      <x:c r="AG4" s="10" t="s">
        <x:v>169</x:v>
      </x:c>
      <x:c r="AH4" s="10" t="s">
        <x:v>98</x:v>
      </x:c>
      <x:c r="AI4" s="11" t="s">
        <x:v>99</x:v>
      </x:c>
      <x:c r="AJ4" s="10" t="s">
        <x:v>212</x:v>
      </x:c>
      <x:c r="AL4" s="11" t="s">
        <x:v>73</x:v>
      </x:c>
    </x:row>
    <x:row r="5" spans="1:38" ht="23.89999999999999857891">
      <x:c r="A5" s="20" t="s">
        <x:v>11</x:v>
      </x:c>
      <x:c r="B5" s="19" t="s">
        <x:v>254</x:v>
      </x:c>
      <x:c r="C5" s="19" t="s">
        <x:v>36</x:v>
      </x:c>
      <x:c r="D5" s="7" t="s">
        <x:v>221</x:v>
      </x:c>
      <x:c r="E5" s="12"/>
      <x:c r="F5" s="12"/>
      <x:c r="G5" s="12"/>
      <x:c r="H5" s="12"/>
      <x:c r="I5" s="10" t="s">
        <x:v>22</x:v>
      </x:c>
      <x:c r="J5" s="12"/>
      <x:c r="K5" s="10" t="s">
        <x:v>72</x:v>
      </x:c>
      <x:c r="L5" s="12"/>
      <x:c r="M5" s="10" t="s">
        <x:v>71</x:v>
      </x:c>
      <x:c r="N5" s="13"/>
      <x:c r="O5" s="10" t="s">
        <x:v>10</x:v>
      </x:c>
      <x:c r="P5" s="13"/>
      <x:c r="Q5" s="10" t="s">
        <x:v>112</x:v>
      </x:c>
      <x:c r="R5" s="10" t="s">
        <x:v>5</x:v>
      </x:c>
      <x:c r="S5" s="10" t="s">
        <x:v>213</x:v>
      </x:c>
      <x:c r="T5" s="10" t="s">
        <x:v>196</x:v>
      </x:c>
      <x:c r="U5" s="10" t="s">
        <x:v>85</x:v>
      </x:c>
      <x:c r="V5" s="11" t="s">
        <x:v>131</x:v>
      </x:c>
      <x:c r="W5" s="10" t="s">
        <x:v>3</x:v>
      </x:c>
      <x:c r="AC5" s="10" t="s">
        <x:v>183</x:v>
      </x:c>
      <x:c r="AF5" s="11" t="s">
        <x:v>92</x:v>
      </x:c>
      <x:c r="AG5" s="10" t="s">
        <x:v>210</x:v>
      </x:c>
      <x:c r="AH5" s="10" t="s">
        <x:v>255</x:v>
      </x:c>
      <x:c r="AI5" s="10" t="s">
        <x:v>57</x:v>
      </x:c>
      <x:c r="AJ5" s="10" t="s">
        <x:v>121</x:v>
      </x:c>
      <x:c r="AL5" s="10" t="s">
        <x:v>50</x:v>
      </x:c>
    </x:row>
    <x:row r="6" spans="1:38">
      <x:c r="A6" s="19" t="s">
        <x:v>225</x:v>
      </x:c>
      <x:c r="B6" s="19" t="s">
        <x:v>263</x:v>
      </x:c>
      <x:c r="C6" s="19" t="s">
        <x:v>36</x:v>
      </x:c>
      <x:c r="E6" s="12"/>
      <x:c r="F6" s="12"/>
      <x:c r="G6" s="12"/>
      <x:c r="H6" s="12"/>
      <x:c r="I6" s="12"/>
      <x:c r="J6" s="12"/>
      <x:c r="K6" s="10" t="s">
        <x:v>59</x:v>
      </x:c>
      <x:c r="L6" s="12"/>
      <x:c r="M6" s="12"/>
      <x:c r="N6" s="12"/>
      <x:c r="O6" s="10" t="s">
        <x:v>83</x:v>
      </x:c>
      <x:c r="P6" s="13"/>
      <x:c r="S6" s="11" t="s">
        <x:v>104</x:v>
      </x:c>
      <x:c r="T6" s="10" t="s">
        <x:v>84</x:v>
      </x:c>
      <x:c r="W6" s="10" t="s">
        <x:v>195</x:v>
      </x:c>
      <x:c r="AG6" s="10" t="s">
        <x:v>205</x:v>
      </x:c>
      <x:c r="AH6" s="10" t="s">
        <x:v>102</x:v>
      </x:c>
      <x:c r="AI6" s="11" t="s">
        <x:v>39</x:v>
      </x:c>
      <x:c r="AJ6" s="10" t="s">
        <x:v>61</x:v>
      </x:c>
      <x:c r="AL6" s="11" t="s">
        <x:v>65</x:v>
      </x:c>
    </x:row>
    <x:row r="7" spans="1:38">
      <x:c r="A7" s="19" t="s">
        <x:v>235</x:v>
      </x:c>
      <x:c r="B7" s="19" t="s">
        <x:v>242</x:v>
      </x:c>
      <x:c r="C7" s="19" t="s">
        <x:v>143</x:v>
      </x:c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4"/>
      <x:c r="P7" s="13"/>
      <x:c r="S7" s="11" t="s">
        <x:v>259</x:v>
      </x:c>
      <x:c r="T7" s="10" t="s">
        <x:v>13</x:v>
      </x:c>
      <x:c r="W7" s="10" t="s">
        <x:v>56</x:v>
      </x:c>
      <x:c r="AH7" s="10" t="s">
        <x:v>68</x:v>
      </x:c>
      <x:c r="AI7" s="10" t="s">
        <x:v>177</x:v>
      </x:c>
      <x:c r="AJ7" s="10" t="s">
        <x:v>46</x:v>
      </x:c>
      <x:c r="AL7" s="10" t="s">
        <x:v>229</x:v>
      </x:c>
    </x:row>
    <x:row r="8" spans="1:36">
      <x:c r="A8" s="19" t="s">
        <x:v>231</x:v>
      </x:c>
      <x:c r="B8" s="19" t="s">
        <x:v>250</x:v>
      </x:c>
      <x:c r="C8" s="19" t="s">
        <x:v>143</x:v>
      </x:c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4"/>
      <x:c r="P8" s="12"/>
      <x:c r="S8" s="11" t="s">
        <x:v>80</x:v>
      </x:c>
      <x:c r="W8" s="10" t="s">
        <x:v>203</x:v>
      </x:c>
      <x:c r="AH8" s="10" t="s">
        <x:v>262</x:v>
      </x:c>
      <x:c r="AI8" s="11" t="s">
        <x:v>70</x:v>
      </x:c>
      <x:c r="AJ8" s="10" t="s">
        <x:v>20</x:v>
      </x:c>
    </x:row>
    <x:row r="9" spans="1:36">
      <x:c r="A9" s="19" t="s">
        <x:v>170</x:v>
      </x:c>
      <x:c r="B9" s="19" t="s">
        <x:v>244</x:v>
      </x:c>
      <x:c r="C9" s="19" t="s">
        <x:v>143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3"/>
      <x:c r="P9" s="12"/>
      <x:c r="S9" s="10" t="s">
        <x:v>48</x:v>
      </x:c>
      <x:c r="W9" s="10" t="s">
        <x:v>82</x:v>
      </x:c>
      <x:c r="AH9" s="10" t="s">
        <x:v>58</x:v>
      </x:c>
      <x:c r="AI9" s="10" t="s">
        <x:v>69</x:v>
      </x:c>
      <x:c r="AJ9" s="10" t="s">
        <x:v>79</x:v>
      </x:c>
    </x:row>
    <x:row r="10" spans="1:36">
      <x:c r="A10" s="19" t="s">
        <x:v>175</x:v>
      </x:c>
      <x:c r="B10" s="19" t="s">
        <x:v>215</x:v>
      </x:c>
      <x:c r="C10" s="19" t="s">
        <x:v>143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3"/>
      <x:c r="P10" s="12"/>
      <x:c r="S10" s="10" t="s">
        <x:v>171</x:v>
      </x:c>
      <x:c r="AH10" s="10" t="s">
        <x:v>239</x:v>
      </x:c>
      <x:c r="AI10" s="11" t="s">
        <x:v>101</x:v>
      </x:c>
      <x:c r="AJ10" s="10" t="s">
        <x:v>187</x:v>
      </x:c>
    </x:row>
    <x:row r="11" spans="1:35">
      <x:c r="A11" s="19" t="s">
        <x:v>264</x:v>
      </x:c>
      <x:c r="B11" s="19" t="s">
        <x:v>245</x:v>
      </x:c>
      <x:c r="C11" s="19" t="s">
        <x:v>143</x:v>
      </x:c>
      <x:c r="AI11" s="10" t="s">
        <x:v>207</x:v>
      </x:c>
    </x:row>
    <x:row r="12" spans="35:35">
      <x:c r="AI12" s="11" t="s">
        <x:v>106</x:v>
      </x:c>
    </x:row>
    <x:row r="13" spans="4:35">
      <x:c r="D13" s="17" t="s">
        <x:v>260</x:v>
      </x:c>
      <x:c r="E13" s="17" t="s">
        <x:v>155</x:v>
      </x:c>
      <x:c r="F13" s="17" t="s">
        <x:v>142</x:v>
      </x:c>
      <x:c r="G13" s="17" t="s">
        <x:v>149</x:v>
      </x:c>
      <x:c r="J13" s="21" t="s">
        <x:v>228</x:v>
      </x:c>
      <x:c r="K13" s="22" t="s">
        <x:v>198</x:v>
      </x:c>
      <x:c r="AI13" s="10" t="s">
        <x:v>103</x:v>
      </x:c>
    </x:row>
    <x:row r="14" spans="4:35">
      <x:c r="D14" s="15" t="s">
        <x:v>21</x:v>
      </x:c>
      <x:c r="E14" s="17">
        <x:v>4</x:v>
      </x:c>
      <x:c r="F14" s="17">
        <x:v>3</x:v>
      </x:c>
      <x:c r="G14" s="17">
        <x:v>4</x:v>
      </x:c>
      <x:c r="J14" s="21" t="s">
        <x:v>199</x:v>
      </x:c>
      <x:c r="K14" s="22" t="s">
        <x:v>161</x:v>
      </x:c>
      <x:c r="AI14" s="11" t="s">
        <x:v>111</x:v>
      </x:c>
    </x:row>
    <x:row r="15" spans="4:35">
      <x:c r="D15" s="15" t="s">
        <x:v>27</x:v>
      </x:c>
      <x:c r="E15" s="17">
        <x:v>4</x:v>
      </x:c>
      <x:c r="F15" s="17">
        <x:v>3</x:v>
      </x:c>
      <x:c r="G15" s="17">
        <x:v>4</x:v>
      </x:c>
      <x:c r="J15" s="21" t="s">
        <x:v>158</x:v>
      </x:c>
      <x:c r="K15" s="22" t="s">
        <x:v>162</x:v>
      </x:c>
      <x:c r="AI15" s="10" t="s">
        <x:v>204</x:v>
      </x:c>
    </x:row>
    <x:row r="16" spans="4:35">
      <x:c r="D16" s="15" t="s">
        <x:v>66</x:v>
      </x:c>
      <x:c r="E16" s="17">
        <x:v>4</x:v>
      </x:c>
      <x:c r="F16" s="17">
        <x:v>3</x:v>
      </x:c>
      <x:c r="G16" s="17">
        <x:v>4</x:v>
      </x:c>
      <x:c r="J16" s="21" t="s">
        <x:v>211</x:v>
      </x:c>
      <x:c r="K16" s="22" t="s">
        <x:v>151</x:v>
      </x:c>
      <x:c r="AI16" s="11" t="s">
        <x:v>130</x:v>
      </x:c>
    </x:row>
    <x:row r="17" spans="4:35">
      <x:c r="D17" s="15" t="s">
        <x:v>38</x:v>
      </x:c>
      <x:c r="E17" s="17">
        <x:v>4</x:v>
      </x:c>
      <x:c r="F17" s="17">
        <x:v>3</x:v>
      </x:c>
      <x:c r="G17" s="17">
        <x:v>4</x:v>
      </x:c>
      <x:c r="J17" s="21" t="s">
        <x:v>15</x:v>
      </x:c>
      <x:c r="AI17" s="10" t="s">
        <x:v>42</x:v>
      </x:c>
    </x:row>
    <x:row r="18" spans="4:35">
      <x:c r="D18" s="15" t="s">
        <x:v>34</x:v>
      </x:c>
      <x:c r="E18" s="17">
        <x:v>4</x:v>
      </x:c>
      <x:c r="F18" s="17">
        <x:v>3</x:v>
      </x:c>
      <x:c r="G18" s="17">
        <x:v>4</x:v>
      </x:c>
      <x:c r="J18" s="21" t="s">
        <x:v>14</x:v>
      </x:c>
      <x:c r="K18" s="33"/>
      <x:c r="AI18" s="10" t="s">
        <x:v>197</x:v>
      </x:c>
    </x:row>
    <x:row r="19" spans="4:11">
      <x:c r="D19" s="15" t="s">
        <x:v>22</x:v>
      </x:c>
      <x:c r="E19" s="17">
        <x:v>4</x:v>
      </x:c>
      <x:c r="F19" s="17">
        <x:v>3</x:v>
      </x:c>
      <x:c r="G19" s="17">
        <x:v>4</x:v>
      </x:c>
      <x:c r="J19" s="21" t="s">
        <x:v>16</x:v>
      </x:c>
      <x:c r="K19" s="33"/>
    </x:row>
    <x:row r="20" spans="4:11">
      <x:c r="D20" s="15" t="s">
        <x:v>55</x:v>
      </x:c>
      <x:c r="E20" s="17">
        <x:v>4</x:v>
      </x:c>
      <x:c r="F20" s="17">
        <x:v>3</x:v>
      </x:c>
      <x:c r="G20" s="17">
        <x:v>4</x:v>
      </x:c>
      <x:c r="J20" s="21" t="s">
        <x:v>18</x:v>
      </x:c>
      <x:c r="K20" s="33"/>
    </x:row>
    <x:row r="21" spans="4:11">
      <x:c r="D21" s="15" t="s">
        <x:v>26</x:v>
      </x:c>
      <x:c r="E21" s="17">
        <x:v>4</x:v>
      </x:c>
      <x:c r="F21" s="17">
        <x:v>3</x:v>
      </x:c>
      <x:c r="G21" s="17">
        <x:v>4</x:v>
      </x:c>
      <x:c r="J21" s="21" t="s">
        <x:v>1</x:v>
      </x:c>
      <x:c r="K21" s="33"/>
    </x:row>
    <x:row r="22" spans="4:11">
      <x:c r="D22" s="15" t="s">
        <x:v>28</x:v>
      </x:c>
      <x:c r="E22" s="17">
        <x:v>4</x:v>
      </x:c>
      <x:c r="F22" s="17">
        <x:v>3</x:v>
      </x:c>
      <x:c r="G22" s="17">
        <x:v>4</x:v>
      </x:c>
      <x:c r="J22" s="21"/>
      <x:c r="K22" s="34"/>
    </x:row>
    <x:row r="23" spans="4:7">
      <x:c r="D23" s="15" t="s">
        <x:v>71</x:v>
      </x:c>
      <x:c r="E23" s="17">
        <x:v>4</x:v>
      </x:c>
      <x:c r="F23" s="17">
        <x:v>3</x:v>
      </x:c>
      <x:c r="G23" s="17">
        <x:v>4</x:v>
      </x:c>
    </x:row>
    <x:row r="24" spans="4:7">
      <x:c r="D24" s="15" t="s">
        <x:v>81</x:v>
      </x:c>
      <x:c r="E24" s="17">
        <x:v>3</x:v>
      </x:c>
      <x:c r="F24" s="17">
        <x:v>3</x:v>
      </x:c>
      <x:c r="G24" s="17">
        <x:v>3</x:v>
      </x:c>
    </x:row>
    <x:row r="25" spans="4:7">
      <x:c r="D25" s="15" t="s">
        <x:v>76</x:v>
      </x:c>
      <x:c r="E25" s="17">
        <x:v>3</x:v>
      </x:c>
      <x:c r="F25" s="17">
        <x:v>3</x:v>
      </x:c>
      <x:c r="G25" s="17">
        <x:v>3</x:v>
      </x:c>
    </x:row>
    <x:row r="26" spans="4:7">
      <x:c r="D26" s="15" t="s">
        <x:v>77</x:v>
      </x:c>
      <x:c r="E26" s="17">
        <x:v>4</x:v>
      </x:c>
      <x:c r="F26" s="17">
        <x:v>3</x:v>
      </x:c>
      <x:c r="G26" s="17">
        <x:v>4</x:v>
      </x:c>
    </x:row>
    <x:row r="27" spans="4:7">
      <x:c r="D27" s="15" t="s">
        <x:v>112</x:v>
      </x:c>
      <x:c r="E27" s="17">
        <x:v>4</x:v>
      </x:c>
      <x:c r="F27" s="17">
        <x:v>3</x:v>
      </x:c>
      <x:c r="G27" s="17">
        <x:v>4</x:v>
      </x:c>
    </x:row>
    <x:row r="28" spans="4:7">
      <x:c r="D28" s="15" t="s">
        <x:v>97</x:v>
      </x:c>
      <x:c r="E28" s="17">
        <x:v>4</x:v>
      </x:c>
      <x:c r="F28" s="17">
        <x:v>3</x:v>
      </x:c>
      <x:c r="G28" s="17">
        <x:v>4</x:v>
      </x:c>
    </x:row>
    <x:row r="29" spans="4:7">
      <x:c r="D29" s="15" t="s">
        <x:v>87</x:v>
      </x:c>
      <x:c r="E29" s="17">
        <x:v>4</x:v>
      </x:c>
      <x:c r="F29" s="17">
        <x:v>3</x:v>
      </x:c>
      <x:c r="G29" s="17">
        <x:v>4</x:v>
      </x:c>
    </x:row>
    <x:row r="30" spans="4:7">
      <x:c r="D30" s="15" t="s">
        <x:v>94</x:v>
      </x:c>
      <x:c r="E30" s="17">
        <x:v>1</x:v>
      </x:c>
      <x:c r="F30" s="17">
        <x:v>1</x:v>
      </x:c>
      <x:c r="G30" s="17">
        <x:v>1</x:v>
      </x:c>
    </x:row>
    <x:row r="31" spans="4:7">
      <x:c r="D31" s="15" t="s">
        <x:v>85</x:v>
      </x:c>
      <x:c r="E31" s="17">
        <x:v>1</x:v>
      </x:c>
      <x:c r="F31" s="17">
        <x:v>1</x:v>
      </x:c>
      <x:c r="G31" s="17">
        <x:v>1</x:v>
      </x:c>
    </x:row>
    <x:row r="32" spans="4:7">
      <x:c r="D32" s="15" t="s">
        <x:v>54</x:v>
      </x:c>
      <x:c r="E32" s="17">
        <x:v>4</x:v>
      </x:c>
      <x:c r="F32" s="17">
        <x:v>3</x:v>
      </x:c>
      <x:c r="G32" s="17">
        <x:v>5</x:v>
      </x:c>
    </x:row>
    <x:row r="33" spans="4:7">
      <x:c r="D33" s="15" t="s">
        <x:v>44</x:v>
      </x:c>
      <x:c r="E33" s="17">
        <x:v>4</x:v>
      </x:c>
      <x:c r="F33" s="17">
        <x:v>3</x:v>
      </x:c>
      <x:c r="G33" s="17">
        <x:v>5</x:v>
      </x:c>
    </x:row>
    <x:row r="34" spans="4:7">
      <x:c r="D34" s="15" t="s">
        <x:v>236</x:v>
      </x:c>
      <x:c r="E34" s="17">
        <x:v>4</x:v>
      </x:c>
      <x:c r="F34" s="17">
        <x:v>3</x:v>
      </x:c>
      <x:c r="G34" s="17">
        <x:v>5</x:v>
      </x:c>
    </x:row>
    <x:row r="35" spans="4:7">
      <x:c r="D35" s="15" t="s">
        <x:v>220</x:v>
      </x:c>
      <x:c r="E35" s="17">
        <x:v>4</x:v>
      </x:c>
      <x:c r="F35" s="17">
        <x:v>3</x:v>
      </x:c>
      <x:c r="G35" s="17">
        <x:v>5</x:v>
      </x:c>
    </x:row>
    <x:row r="36" spans="4:7">
      <x:c r="D36" s="15" t="s">
        <x:v>23</x:v>
      </x:c>
      <x:c r="E36" s="17">
        <x:v>4</x:v>
      </x:c>
      <x:c r="F36" s="17">
        <x:v>3</x:v>
      </x:c>
      <x:c r="G36" s="17">
        <x:v>5</x:v>
      </x:c>
    </x:row>
    <x:row r="37" spans="4:7">
      <x:c r="D37" s="15" t="s">
        <x:v>29</x:v>
      </x:c>
      <x:c r="E37" s="17">
        <x:v>4</x:v>
      </x:c>
      <x:c r="F37" s="17">
        <x:v>3</x:v>
      </x:c>
      <x:c r="G37" s="17">
        <x:v>5</x:v>
      </x:c>
    </x:row>
    <x:row r="38" spans="4:7">
      <x:c r="D38" s="15" t="s">
        <x:v>237</x:v>
      </x:c>
      <x:c r="E38" s="17">
        <x:v>4</x:v>
      </x:c>
      <x:c r="F38" s="17">
        <x:v>3</x:v>
      </x:c>
      <x:c r="G38" s="17">
        <x:v>5</x:v>
      </x:c>
    </x:row>
    <x:row r="39" spans="4:7">
      <x:c r="D39" s="16" t="s">
        <x:v>232</x:v>
      </x:c>
      <x:c r="E39" s="17">
        <x:v>4</x:v>
      </x:c>
      <x:c r="F39" s="17">
        <x:v>3</x:v>
      </x:c>
      <x:c r="G39" s="17">
        <x:v>5</x:v>
      </x:c>
    </x:row>
    <x:row r="40" spans="4:7">
      <x:c r="D40" s="15" t="s">
        <x:v>180</x:v>
      </x:c>
      <x:c r="E40" s="17">
        <x:v>4</x:v>
      </x:c>
      <x:c r="F40" s="17">
        <x:v>3</x:v>
      </x:c>
      <x:c r="G40" s="17">
        <x:v>5</x:v>
      </x:c>
    </x:row>
    <x:row r="41" spans="4:7">
      <x:c r="D41" s="15" t="s">
        <x:v>168</x:v>
      </x:c>
      <x:c r="E41" s="17">
        <x:v>4</x:v>
      </x:c>
      <x:c r="F41" s="17">
        <x:v>3</x:v>
      </x:c>
      <x:c r="G41" s="17">
        <x:v>5</x:v>
      </x:c>
    </x:row>
    <x:row r="42" spans="4:7">
      <x:c r="D42" s="15" t="s">
        <x:v>265</x:v>
      </x:c>
      <x:c r="E42" s="17">
        <x:v>4</x:v>
      </x:c>
      <x:c r="F42" s="17">
        <x:v>3</x:v>
      </x:c>
      <x:c r="G42" s="17">
        <x:v>5</x:v>
      </x:c>
    </x:row>
    <x:row r="43" spans="4:7">
      <x:c r="D43" s="15" t="s">
        <x:v>93</x:v>
      </x:c>
      <x:c r="E43" s="17">
        <x:v>4</x:v>
      </x:c>
      <x:c r="F43" s="17">
        <x:v>3</x:v>
      </x:c>
      <x:c r="G43" s="17">
        <x:v>5</x:v>
      </x:c>
    </x:row>
    <x:row r="44" spans="4:7">
      <x:c r="D44" s="15" t="s">
        <x:v>5</x:v>
      </x:c>
      <x:c r="E44" s="17">
        <x:v>4</x:v>
      </x:c>
      <x:c r="F44" s="17">
        <x:v>3</x:v>
      </x:c>
      <x:c r="G44" s="17">
        <x:v>5</x:v>
      </x:c>
    </x:row>
    <x:row r="45" spans="4:7">
      <x:c r="D45" s="15" t="s">
        <x:v>261</x:v>
      </x:c>
      <x:c r="E45" s="17">
        <x:v>4</x:v>
      </x:c>
      <x:c r="F45" s="17">
        <x:v>3</x:v>
      </x:c>
      <x:c r="G45" s="17">
        <x:v>5</x:v>
      </x:c>
    </x:row>
    <x:row r="46" spans="4:7">
      <x:c r="D46" s="16" t="s">
        <x:v>266</x:v>
      </x:c>
      <x:c r="E46" s="17">
        <x:v>4</x:v>
      </x:c>
      <x:c r="F46" s="17">
        <x:v>3</x:v>
      </x:c>
      <x:c r="G46" s="17">
        <x:v>5</x:v>
      </x:c>
    </x:row>
    <x:row r="47" spans="4:7">
      <x:c r="D47" s="15" t="s">
        <x:v>90</x:v>
      </x:c>
      <x:c r="E47" s="17">
        <x:v>4</x:v>
      </x:c>
      <x:c r="F47" s="17">
        <x:v>3</x:v>
      </x:c>
      <x:c r="G47" s="17">
        <x:v>5</x:v>
      </x:c>
    </x:row>
    <x:row r="48" spans="4:7">
      <x:c r="D48" s="16" t="s">
        <x:v>131</x:v>
      </x:c>
      <x:c r="E48" s="17">
        <x:v>4</x:v>
      </x:c>
      <x:c r="F48" s="17">
        <x:v>3</x:v>
      </x:c>
      <x:c r="G48" s="17">
        <x:v>5</x:v>
      </x:c>
    </x:row>
    <x:row r="49" spans="4:7">
      <x:c r="D49" s="16" t="s">
        <x:v>251</x:v>
      </x:c>
      <x:c r="E49" s="17">
        <x:v>3</x:v>
      </x:c>
      <x:c r="F49" s="17">
        <x:v>2</x:v>
      </x:c>
      <x:c r="G49" s="17">
        <x:v>4</x:v>
      </x:c>
    </x:row>
    <x:row r="50" spans="4:7">
      <x:c r="D50" s="16" t="s">
        <x:v>224</x:v>
      </x:c>
      <x:c r="E50" s="17">
        <x:v>3</x:v>
      </x:c>
      <x:c r="F50" s="17">
        <x:v>2</x:v>
      </x:c>
      <x:c r="G50" s="17">
        <x:v>4</x:v>
      </x:c>
    </x:row>
    <x:row r="51" spans="4:7">
      <x:c r="D51" s="15" t="s">
        <x:v>241</x:v>
      </x:c>
      <x:c r="E51" s="17">
        <x:v>3</x:v>
      </x:c>
      <x:c r="F51" s="17">
        <x:v>2</x:v>
      </x:c>
      <x:c r="G51" s="17">
        <x:v>4</x:v>
      </x:c>
    </x:row>
    <x:row r="52" spans="4:7">
      <x:c r="D52" s="15" t="s">
        <x:v>234</x:v>
      </x:c>
      <x:c r="E52" s="17">
        <x:v>3</x:v>
      </x:c>
      <x:c r="F52" s="17">
        <x:v>2</x:v>
      </x:c>
      <x:c r="G52" s="17">
        <x:v>4</x:v>
      </x:c>
    </x:row>
    <x:row r="53" spans="4:7">
      <x:c r="D53" s="15" t="s">
        <x:v>223</x:v>
      </x:c>
      <x:c r="E53" s="17">
        <x:v>3</x:v>
      </x:c>
      <x:c r="F53" s="17">
        <x:v>2</x:v>
      </x:c>
      <x:c r="G53" s="17">
        <x:v>4</x:v>
      </x:c>
    </x:row>
    <x:row r="54" spans="4:7">
      <x:c r="D54" s="15" t="s">
        <x:v>52</x:v>
      </x:c>
      <x:c r="E54" s="17">
        <x:v>4</x:v>
      </x:c>
      <x:c r="F54" s="17">
        <x:v>3</x:v>
      </x:c>
      <x:c r="G54" s="17">
        <x:v>5</x:v>
      </x:c>
    </x:row>
    <x:row r="55" spans="4:7">
      <x:c r="D55" s="15" t="s">
        <x:v>246</x:v>
      </x:c>
      <x:c r="E55" s="17">
        <x:v>4</x:v>
      </x:c>
      <x:c r="F55" s="17">
        <x:v>3</x:v>
      </x:c>
      <x:c r="G55" s="17">
        <x:v>5</x:v>
      </x:c>
    </x:row>
    <x:row r="56" spans="4:7">
      <x:c r="D56" s="15" t="s">
        <x:v>62</x:v>
      </x:c>
      <x:c r="E56" s="17">
        <x:v>4</x:v>
      </x:c>
      <x:c r="F56" s="17">
        <x:v>3</x:v>
      </x:c>
      <x:c r="G56" s="17">
        <x:v>5</x:v>
      </x:c>
    </x:row>
    <x:row r="57" spans="4:7">
      <x:c r="D57" s="15" t="s">
        <x:v>86</x:v>
      </x:c>
      <x:c r="E57" s="17">
        <x:v>4</x:v>
      </x:c>
      <x:c r="F57" s="17">
        <x:v>3</x:v>
      </x:c>
      <x:c r="G57" s="17">
        <x:v>5</x:v>
      </x:c>
    </x:row>
    <x:row r="58" spans="4:7">
      <x:c r="D58" s="15" t="s">
        <x:v>98</x:v>
      </x:c>
      <x:c r="E58" s="17">
        <x:v>4</x:v>
      </x:c>
      <x:c r="F58" s="17">
        <x:v>3</x:v>
      </x:c>
      <x:c r="G58" s="17">
        <x:v>5</x:v>
      </x:c>
    </x:row>
    <x:row r="59" spans="4:7">
      <x:c r="D59" s="15" t="s">
        <x:v>255</x:v>
      </x:c>
      <x:c r="E59" s="17">
        <x:v>4</x:v>
      </x:c>
      <x:c r="F59" s="17">
        <x:v>3</x:v>
      </x:c>
      <x:c r="G59" s="17">
        <x:v>5</x:v>
      </x:c>
    </x:row>
    <x:row r="60" spans="4:7">
      <x:c r="D60" s="15" t="s">
        <x:v>102</x:v>
      </x:c>
      <x:c r="E60" s="17">
        <x:v>4</x:v>
      </x:c>
      <x:c r="F60" s="17">
        <x:v>3</x:v>
      </x:c>
      <x:c r="G60" s="17">
        <x:v>5</x:v>
      </x:c>
    </x:row>
    <x:row r="61" spans="4:7">
      <x:c r="D61" s="15" t="s">
        <x:v>68</x:v>
      </x:c>
      <x:c r="E61" s="17">
        <x:v>4</x:v>
      </x:c>
      <x:c r="F61" s="17">
        <x:v>3</x:v>
      </x:c>
      <x:c r="G61" s="17">
        <x:v>5</x:v>
      </x:c>
    </x:row>
    <x:row r="62" spans="4:7">
      <x:c r="D62" s="15" t="s">
        <x:v>262</x:v>
      </x:c>
      <x:c r="E62" s="17">
        <x:v>4</x:v>
      </x:c>
      <x:c r="F62" s="17">
        <x:v>3</x:v>
      </x:c>
      <x:c r="G62" s="17">
        <x:v>5</x:v>
      </x:c>
    </x:row>
    <x:row r="63" spans="4:7">
      <x:c r="D63" s="15" t="s">
        <x:v>58</x:v>
      </x:c>
      <x:c r="E63" s="17">
        <x:v>4</x:v>
      </x:c>
      <x:c r="F63" s="17">
        <x:v>3</x:v>
      </x:c>
      <x:c r="G63" s="17">
        <x:v>5</x:v>
      </x:c>
    </x:row>
    <x:row r="64" spans="4:7">
      <x:c r="D64" s="15" t="s">
        <x:v>239</x:v>
      </x:c>
      <x:c r="E64" s="17">
        <x:v>4</x:v>
      </x:c>
      <x:c r="F64" s="17">
        <x:v>3</x:v>
      </x:c>
      <x:c r="G64" s="17">
        <x:v>5</x:v>
      </x:c>
    </x:row>
    <x:row r="65" spans="4:7">
      <x:c r="D65" s="15" t="s">
        <x:v>45</x:v>
      </x:c>
      <x:c r="E65" s="17">
        <x:v>3</x:v>
      </x:c>
      <x:c r="F65" s="17">
        <x:v>2</x:v>
      </x:c>
      <x:c r="G65" s="17">
        <x:v>4</x:v>
      </x:c>
    </x:row>
    <x:row r="66" spans="4:7">
      <x:c r="D66" s="15" t="s">
        <x:v>24</x:v>
      </x:c>
      <x:c r="E66" s="17">
        <x:v>3</x:v>
      </x:c>
      <x:c r="F66" s="17">
        <x:v>2</x:v>
      </x:c>
      <x:c r="G66" s="17">
        <x:v>4</x:v>
      </x:c>
    </x:row>
    <x:row r="67" spans="4:7">
      <x:c r="D67" s="15" t="s">
        <x:v>178</x:v>
      </x:c>
      <x:c r="E67" s="17">
        <x:v>4</x:v>
      </x:c>
      <x:c r="F67" s="17">
        <x:v>3</x:v>
      </x:c>
      <x:c r="G67" s="17">
        <x:v>5</x:v>
      </x:c>
    </x:row>
    <x:row r="68" spans="4:7">
      <x:c r="D68" s="15" t="s">
        <x:v>67</x:v>
      </x:c>
      <x:c r="E68" s="17">
        <x:v>4</x:v>
      </x:c>
      <x:c r="F68" s="17">
        <x:v>3</x:v>
      </x:c>
      <x:c r="G68" s="17">
        <x:v>5</x:v>
      </x:c>
    </x:row>
    <x:row r="69" spans="4:7">
      <x:c r="D69" s="15" t="s">
        <x:v>41</x:v>
      </x:c>
      <x:c r="E69" s="17">
        <x:v>4</x:v>
      </x:c>
      <x:c r="F69" s="17">
        <x:v>3</x:v>
      </x:c>
      <x:c r="G69" s="17">
        <x:v>5</x:v>
      </x:c>
    </x:row>
    <x:row r="70" spans="4:7">
      <x:c r="D70" s="15" t="s">
        <x:v>233</x:v>
      </x:c>
      <x:c r="E70" s="17">
        <x:v>4</x:v>
      </x:c>
      <x:c r="F70" s="17">
        <x:v>3</x:v>
      </x:c>
      <x:c r="G70" s="17">
        <x:v>5</x:v>
      </x:c>
    </x:row>
    <x:row r="71" spans="4:7">
      <x:c r="D71" s="15" t="s">
        <x:v>51</x:v>
      </x:c>
      <x:c r="E71" s="17">
        <x:v>4</x:v>
      </x:c>
      <x:c r="F71" s="17">
        <x:v>3</x:v>
      </x:c>
      <x:c r="G71" s="17">
        <x:v>5</x:v>
      </x:c>
    </x:row>
    <x:row r="72" spans="4:7">
      <x:c r="D72" s="15" t="s">
        <x:v>96</x:v>
      </x:c>
      <x:c r="E72" s="17">
        <x:v>4</x:v>
      </x:c>
      <x:c r="F72" s="17">
        <x:v>3</x:v>
      </x:c>
      <x:c r="G72" s="17">
        <x:v>5</x:v>
      </x:c>
    </x:row>
    <x:row r="73" spans="4:7">
      <x:c r="D73" s="15" t="s">
        <x:v>72</x:v>
      </x:c>
      <x:c r="E73" s="17">
        <x:v>4</x:v>
      </x:c>
      <x:c r="F73" s="17">
        <x:v>3</x:v>
      </x:c>
      <x:c r="G73" s="17">
        <x:v>5</x:v>
      </x:c>
    </x:row>
    <x:row r="74" spans="4:7">
      <x:c r="D74" s="15" t="s">
        <x:v>59</x:v>
      </x:c>
      <x:c r="E74" s="17">
        <x:v>4</x:v>
      </x:c>
      <x:c r="F74" s="17">
        <x:v>3</x:v>
      </x:c>
      <x:c r="G74" s="17">
        <x:v>5</x:v>
      </x:c>
    </x:row>
    <x:row r="75" spans="4:7">
      <x:c r="D75" s="15" t="s">
        <x:v>191</x:v>
      </x:c>
      <x:c r="E75" s="17">
        <x:v>4</x:v>
      </x:c>
      <x:c r="F75" s="17">
        <x:v>3</x:v>
      </x:c>
      <x:c r="G75" s="17">
        <x:v>5</x:v>
      </x:c>
    </x:row>
    <x:row r="76" spans="4:7">
      <x:c r="D76" s="16" t="s">
        <x:v>2</x:v>
      </x:c>
      <x:c r="E76" s="17">
        <x:v>4</x:v>
      </x:c>
      <x:c r="F76" s="17">
        <x:v>3</x:v>
      </x:c>
      <x:c r="G76" s="17">
        <x:v>5</x:v>
      </x:c>
    </x:row>
    <x:row r="77" spans="4:7">
      <x:c r="D77" s="16" t="s">
        <x:v>127</x:v>
      </x:c>
      <x:c r="E77" s="17">
        <x:v>4</x:v>
      </x:c>
      <x:c r="F77" s="17">
        <x:v>3</x:v>
      </x:c>
      <x:c r="G77" s="17">
        <x:v>5</x:v>
      </x:c>
    </x:row>
    <x:row r="78" spans="4:7">
      <x:c r="D78" s="15" t="s">
        <x:v>10</x:v>
      </x:c>
      <x:c r="E78" s="17">
        <x:v>4</x:v>
      </x:c>
      <x:c r="F78" s="17">
        <x:v>3</x:v>
      </x:c>
      <x:c r="G78" s="17">
        <x:v>5</x:v>
      </x:c>
    </x:row>
    <x:row r="79" spans="4:7">
      <x:c r="D79" s="15" t="s">
        <x:v>83</x:v>
      </x:c>
      <x:c r="E79" s="17">
        <x:v>4</x:v>
      </x:c>
      <x:c r="F79" s="17">
        <x:v>3</x:v>
      </x:c>
      <x:c r="G79" s="17">
        <x:v>5</x:v>
      </x:c>
    </x:row>
    <x:row r="80" spans="4:7">
      <x:c r="D80" s="16" t="s">
        <x:v>105</x:v>
      </x:c>
      <x:c r="E80" s="17">
        <x:v>4</x:v>
      </x:c>
      <x:c r="F80" s="17">
        <x:v>3</x:v>
      </x:c>
      <x:c r="G80" s="17">
        <x:v>5</x:v>
      </x:c>
    </x:row>
    <x:row r="81" spans="4:7">
      <x:c r="D81" s="15" t="s">
        <x:v>8</x:v>
      </x:c>
      <x:c r="E81" s="17">
        <x:v>4</x:v>
      </x:c>
      <x:c r="F81" s="17">
        <x:v>3</x:v>
      </x:c>
      <x:c r="G81" s="17">
        <x:v>5</x:v>
      </x:c>
    </x:row>
    <x:row r="82" spans="4:7">
      <x:c r="D82" s="15" t="s">
        <x:v>4</x:v>
      </x:c>
      <x:c r="E82" s="17">
        <x:v>4</x:v>
      </x:c>
      <x:c r="F82" s="17">
        <x:v>3</x:v>
      </x:c>
      <x:c r="G82" s="17">
        <x:v>5</x:v>
      </x:c>
    </x:row>
    <x:row r="83" spans="4:7">
      <x:c r="D83" s="15" t="s">
        <x:v>213</x:v>
      </x:c>
      <x:c r="E83" s="17">
        <x:v>4</x:v>
      </x:c>
      <x:c r="F83" s="17">
        <x:v>3</x:v>
      </x:c>
      <x:c r="G83" s="17">
        <x:v>5</x:v>
      </x:c>
    </x:row>
    <x:row r="84" spans="4:7">
      <x:c r="D84" s="16" t="s">
        <x:v>104</x:v>
      </x:c>
      <x:c r="E84" s="17">
        <x:v>4</x:v>
      </x:c>
      <x:c r="F84" s="17">
        <x:v>3</x:v>
      </x:c>
      <x:c r="G84" s="17">
        <x:v>5</x:v>
      </x:c>
    </x:row>
    <x:row r="85" spans="4:7">
      <x:c r="D85" s="16" t="s">
        <x:v>259</x:v>
      </x:c>
      <x:c r="E85" s="17">
        <x:v>4</x:v>
      </x:c>
      <x:c r="F85" s="17">
        <x:v>3</x:v>
      </x:c>
      <x:c r="G85" s="17">
        <x:v>5</x:v>
      </x:c>
    </x:row>
    <x:row r="86" spans="4:7">
      <x:c r="D86" s="16" t="s">
        <x:v>80</x:v>
      </x:c>
      <x:c r="E86" s="17">
        <x:v>4</x:v>
      </x:c>
      <x:c r="F86" s="17">
        <x:v>3</x:v>
      </x:c>
      <x:c r="G86" s="17">
        <x:v>5</x:v>
      </x:c>
    </x:row>
    <x:row r="87" spans="4:7">
      <x:c r="D87" s="15" t="s">
        <x:v>48</x:v>
      </x:c>
      <x:c r="E87" s="17">
        <x:v>4</x:v>
      </x:c>
      <x:c r="F87" s="17">
        <x:v>3</x:v>
      </x:c>
      <x:c r="G87" s="17">
        <x:v>5</x:v>
      </x:c>
    </x:row>
    <x:row r="88" spans="4:7">
      <x:c r="D88" s="15" t="s">
        <x:v>171</x:v>
      </x:c>
      <x:c r="E88" s="17">
        <x:v>4</x:v>
      </x:c>
      <x:c r="F88" s="17">
        <x:v>3</x:v>
      </x:c>
      <x:c r="G88" s="17">
        <x:v>5</x:v>
      </x:c>
    </x:row>
    <x:row r="89" spans="4:7">
      <x:c r="D89" s="15" t="s">
        <x:v>6</x:v>
      </x:c>
      <x:c r="E89" s="17">
        <x:v>4</x:v>
      </x:c>
      <x:c r="F89" s="17">
        <x:v>3</x:v>
      </x:c>
      <x:c r="G89" s="17">
        <x:v>5</x:v>
      </x:c>
    </x:row>
    <x:row r="90" spans="4:7">
      <x:c r="D90" s="15" t="s">
        <x:v>53</x:v>
      </x:c>
      <x:c r="E90" s="17">
        <x:v>4</x:v>
      </x:c>
      <x:c r="F90" s="17">
        <x:v>3</x:v>
      </x:c>
      <x:c r="G90" s="17">
        <x:v>5</x:v>
      </x:c>
    </x:row>
    <x:row r="91" spans="4:7">
      <x:c r="D91" s="15" t="s">
        <x:v>164</x:v>
      </x:c>
      <x:c r="E91" s="17">
        <x:v>4</x:v>
      </x:c>
      <x:c r="F91" s="17">
        <x:v>3</x:v>
      </x:c>
      <x:c r="G91" s="17">
        <x:v>5</x:v>
      </x:c>
    </x:row>
    <x:row r="92" spans="4:7">
      <x:c r="D92" s="15" t="s">
        <x:v>3</x:v>
      </x:c>
      <x:c r="E92" s="17">
        <x:v>4</x:v>
      </x:c>
      <x:c r="F92" s="17">
        <x:v>3</x:v>
      </x:c>
      <x:c r="G92" s="17">
        <x:v>5</x:v>
      </x:c>
    </x:row>
    <x:row r="93" spans="4:7">
      <x:c r="D93" s="15" t="s">
        <x:v>195</x:v>
      </x:c>
      <x:c r="E93" s="17">
        <x:v>4</x:v>
      </x:c>
      <x:c r="F93" s="17">
        <x:v>3</x:v>
      </x:c>
      <x:c r="G93" s="17">
        <x:v>5</x:v>
      </x:c>
    </x:row>
    <x:row r="94" spans="4:7">
      <x:c r="D94" s="15" t="s">
        <x:v>56</x:v>
      </x:c>
      <x:c r="E94" s="17">
        <x:v>4</x:v>
      </x:c>
      <x:c r="F94" s="17">
        <x:v>3</x:v>
      </x:c>
      <x:c r="G94" s="17">
        <x:v>5</x:v>
      </x:c>
    </x:row>
    <x:row r="95" spans="4:7">
      <x:c r="D95" s="15" t="s">
        <x:v>203</x:v>
      </x:c>
      <x:c r="E95" s="17">
        <x:v>4</x:v>
      </x:c>
      <x:c r="F95" s="17">
        <x:v>3</x:v>
      </x:c>
      <x:c r="G95" s="17">
        <x:v>5</x:v>
      </x:c>
    </x:row>
    <x:row r="96" spans="4:7">
      <x:c r="D96" s="15" t="s">
        <x:v>82</x:v>
      </x:c>
      <x:c r="E96" s="17">
        <x:v>4</x:v>
      </x:c>
      <x:c r="F96" s="17">
        <x:v>3</x:v>
      </x:c>
      <x:c r="G96" s="17">
        <x:v>5</x:v>
      </x:c>
    </x:row>
    <x:row r="97" spans="4:7">
      <x:c r="D97" s="15" t="s">
        <x:v>128</x:v>
      </x:c>
      <x:c r="E97" s="17">
        <x:v>3</x:v>
      </x:c>
      <x:c r="F97" s="17">
        <x:v>2</x:v>
      </x:c>
      <x:c r="G97" s="17">
        <x:v>4</x:v>
      </x:c>
    </x:row>
    <x:row r="98" spans="4:7">
      <x:c r="D98" s="15" t="s">
        <x:v>60</x:v>
      </x:c>
      <x:c r="E98" s="18">
        <x:v>2</x:v>
      </x:c>
      <x:c r="F98" s="18">
        <x:v>1</x:v>
      </x:c>
      <x:c r="G98" s="18">
        <x:v>2</x:v>
      </x:c>
    </x:row>
    <x:row r="99" spans="4:7">
      <x:c r="D99" s="15" t="s">
        <x:v>95</x:v>
      </x:c>
      <x:c r="E99" s="18">
        <x:v>2</x:v>
      </x:c>
      <x:c r="F99" s="18">
        <x:v>1</x:v>
      </x:c>
      <x:c r="G99" s="18">
        <x:v>2</x:v>
      </x:c>
    </x:row>
    <x:row r="100" spans="4:7">
      <x:c r="D100" s="15" t="s">
        <x:v>173</x:v>
      </x:c>
      <x:c r="E100" s="17">
        <x:v>3</x:v>
      </x:c>
      <x:c r="F100" s="17">
        <x:v>2</x:v>
      </x:c>
      <x:c r="G100" s="17">
        <x:v>4</x:v>
      </x:c>
    </x:row>
    <x:row r="101" spans="4:7">
      <x:c r="D101" s="15" t="s">
        <x:v>172</x:v>
      </x:c>
      <x:c r="E101" s="17">
        <x:v>3</x:v>
      </x:c>
      <x:c r="F101" s="17">
        <x:v>2</x:v>
      </x:c>
      <x:c r="G101" s="17">
        <x:v>4</x:v>
      </x:c>
    </x:row>
    <x:row r="102" spans="4:7">
      <x:c r="D102" s="15" t="s">
        <x:v>91</x:v>
      </x:c>
      <x:c r="E102" s="17">
        <x:v>3</x:v>
      </x:c>
      <x:c r="F102" s="17">
        <x:v>2</x:v>
      </x:c>
      <x:c r="G102" s="17">
        <x:v>4</x:v>
      </x:c>
    </x:row>
    <x:row r="103" spans="4:7">
      <x:c r="D103" s="15" t="s">
        <x:v>183</x:v>
      </x:c>
      <x:c r="E103" s="17">
        <x:v>3</x:v>
      </x:c>
      <x:c r="F103" s="17">
        <x:v>2</x:v>
      </x:c>
      <x:c r="G103" s="17">
        <x:v>4</x:v>
      </x:c>
    </x:row>
    <x:row r="104" spans="4:7">
      <x:c r="D104" s="15" t="s">
        <x:v>186</x:v>
      </x:c>
      <x:c r="E104" s="17">
        <x:v>4</x:v>
      </x:c>
      <x:c r="F104" s="17">
        <x:v>3</x:v>
      </x:c>
      <x:c r="G104" s="17">
        <x:v>5</x:v>
      </x:c>
    </x:row>
    <x:row r="105" spans="4:7">
      <x:c r="D105" s="15" t="s">
        <x:v>135</x:v>
      </x:c>
      <x:c r="E105" s="17">
        <x:v>4</x:v>
      </x:c>
      <x:c r="F105" s="17">
        <x:v>3</x:v>
      </x:c>
      <x:c r="G105" s="17">
        <x:v>5</x:v>
      </x:c>
    </x:row>
    <x:row r="106" spans="4:7">
      <x:c r="D106" s="16" t="s">
        <x:v>193</x:v>
      </x:c>
      <x:c r="E106" s="17">
        <x:v>4</x:v>
      </x:c>
      <x:c r="F106" s="17">
        <x:v>3</x:v>
      </x:c>
      <x:c r="G106" s="17">
        <x:v>5</x:v>
      </x:c>
    </x:row>
    <x:row r="107" spans="4:7">
      <x:c r="D107" s="16" t="s">
        <x:v>92</x:v>
      </x:c>
      <x:c r="E107" s="17">
        <x:v>4</x:v>
      </x:c>
      <x:c r="F107" s="17">
        <x:v>3</x:v>
      </x:c>
      <x:c r="G107" s="17">
        <x:v>5</x:v>
      </x:c>
    </x:row>
    <x:row r="108" spans="4:7">
      <x:c r="D108" s="16" t="s">
        <x:v>113</x:v>
      </x:c>
      <x:c r="E108" s="17">
        <x:v>4</x:v>
      </x:c>
      <x:c r="F108" s="17">
        <x:v>3</x:v>
      </x:c>
      <x:c r="G108" s="17">
        <x:v>5</x:v>
      </x:c>
    </x:row>
    <x:row r="109" spans="4:7">
      <x:c r="D109" s="15" t="s">
        <x:v>184</x:v>
      </x:c>
      <x:c r="E109" s="17">
        <x:v>4</x:v>
      </x:c>
      <x:c r="F109" s="17">
        <x:v>3</x:v>
      </x:c>
      <x:c r="G109" s="17">
        <x:v>5</x:v>
      </x:c>
    </x:row>
    <x:row r="110" spans="4:7">
      <x:c r="D110" s="16" t="s">
        <x:v>99</x:v>
      </x:c>
      <x:c r="E110" s="17">
        <x:v>4</x:v>
      </x:c>
      <x:c r="F110" s="17">
        <x:v>3</x:v>
      </x:c>
      <x:c r="G110" s="17">
        <x:v>5</x:v>
      </x:c>
    </x:row>
    <x:row r="111" spans="4:7">
      <x:c r="D111" s="15" t="s">
        <x:v>57</x:v>
      </x:c>
      <x:c r="E111" s="17">
        <x:v>4</x:v>
      </x:c>
      <x:c r="F111" s="17">
        <x:v>3</x:v>
      </x:c>
      <x:c r="G111" s="17">
        <x:v>5</x:v>
      </x:c>
    </x:row>
    <x:row r="112" spans="4:7">
      <x:c r="D112" s="16" t="s">
        <x:v>39</x:v>
      </x:c>
      <x:c r="E112" s="17">
        <x:v>4</x:v>
      </x:c>
      <x:c r="F112" s="17">
        <x:v>3</x:v>
      </x:c>
      <x:c r="G112" s="17">
        <x:v>5</x:v>
      </x:c>
    </x:row>
    <x:row r="113" spans="4:7">
      <x:c r="D113" s="15" t="s">
        <x:v>177</x:v>
      </x:c>
      <x:c r="E113" s="17">
        <x:v>4</x:v>
      </x:c>
      <x:c r="F113" s="17">
        <x:v>3</x:v>
      </x:c>
      <x:c r="G113" s="17">
        <x:v>5</x:v>
      </x:c>
    </x:row>
    <x:row r="114" spans="4:7">
      <x:c r="D114" s="16" t="s">
        <x:v>70</x:v>
      </x:c>
      <x:c r="E114" s="17">
        <x:v>4</x:v>
      </x:c>
      <x:c r="F114" s="17">
        <x:v>3</x:v>
      </x:c>
      <x:c r="G114" s="17">
        <x:v>5</x:v>
      </x:c>
    </x:row>
    <x:row r="115" spans="4:7">
      <x:c r="D115" s="15" t="s">
        <x:v>69</x:v>
      </x:c>
      <x:c r="E115" s="17">
        <x:v>4</x:v>
      </x:c>
      <x:c r="F115" s="17">
        <x:v>3</x:v>
      </x:c>
      <x:c r="G115" s="17">
        <x:v>5</x:v>
      </x:c>
    </x:row>
    <x:row r="116" spans="4:7">
      <x:c r="D116" s="16" t="s">
        <x:v>101</x:v>
      </x:c>
      <x:c r="E116" s="17">
        <x:v>4</x:v>
      </x:c>
      <x:c r="F116" s="17">
        <x:v>3</x:v>
      </x:c>
      <x:c r="G116" s="17">
        <x:v>5</x:v>
      </x:c>
    </x:row>
    <x:row r="117" spans="4:7">
      <x:c r="D117" s="15" t="s">
        <x:v>207</x:v>
      </x:c>
      <x:c r="E117" s="17">
        <x:v>4</x:v>
      </x:c>
      <x:c r="F117" s="17">
        <x:v>3</x:v>
      </x:c>
      <x:c r="G117" s="17">
        <x:v>5</x:v>
      </x:c>
    </x:row>
    <x:row r="118" spans="4:7">
      <x:c r="D118" s="16" t="s">
        <x:v>106</x:v>
      </x:c>
      <x:c r="E118" s="17">
        <x:v>4</x:v>
      </x:c>
      <x:c r="F118" s="17">
        <x:v>3</x:v>
      </x:c>
      <x:c r="G118" s="17">
        <x:v>5</x:v>
      </x:c>
    </x:row>
    <x:row r="119" spans="4:7">
      <x:c r="D119" s="15" t="s">
        <x:v>103</x:v>
      </x:c>
      <x:c r="E119" s="17">
        <x:v>4</x:v>
      </x:c>
      <x:c r="F119" s="17">
        <x:v>3</x:v>
      </x:c>
      <x:c r="G119" s="17">
        <x:v>5</x:v>
      </x:c>
    </x:row>
    <x:row r="120" spans="4:7">
      <x:c r="D120" s="16" t="s">
        <x:v>111</x:v>
      </x:c>
      <x:c r="E120" s="17">
        <x:v>4</x:v>
      </x:c>
      <x:c r="F120" s="17">
        <x:v>3</x:v>
      </x:c>
      <x:c r="G120" s="17">
        <x:v>5</x:v>
      </x:c>
    </x:row>
    <x:row r="121" spans="4:7">
      <x:c r="D121" s="15" t="s">
        <x:v>204</x:v>
      </x:c>
      <x:c r="E121" s="17">
        <x:v>4</x:v>
      </x:c>
      <x:c r="F121" s="17">
        <x:v>3</x:v>
      </x:c>
      <x:c r="G121" s="17">
        <x:v>5</x:v>
      </x:c>
    </x:row>
    <x:row r="122" spans="4:7">
      <x:c r="D122" s="16" t="s">
        <x:v>130</x:v>
      </x:c>
      <x:c r="E122" s="17">
        <x:v>4</x:v>
      </x:c>
      <x:c r="F122" s="17">
        <x:v>3</x:v>
      </x:c>
      <x:c r="G122" s="17">
        <x:v>5</x:v>
      </x:c>
    </x:row>
    <x:row r="123" spans="4:7">
      <x:c r="D123" s="15" t="s">
        <x:v>42</x:v>
      </x:c>
      <x:c r="E123" s="17">
        <x:v>4</x:v>
      </x:c>
      <x:c r="F123" s="17">
        <x:v>3</x:v>
      </x:c>
      <x:c r="G123" s="17">
        <x:v>5</x:v>
      </x:c>
    </x:row>
    <x:row r="124" spans="4:7">
      <x:c r="D124" s="15" t="s">
        <x:v>197</x:v>
      </x:c>
      <x:c r="E124" s="17">
        <x:v>4</x:v>
      </x:c>
      <x:c r="F124" s="17">
        <x:v>3</x:v>
      </x:c>
      <x:c r="G124" s="17">
        <x:v>5</x:v>
      </x:c>
    </x:row>
    <x:row r="125" spans="4:7">
      <x:c r="D125" s="16" t="s">
        <x:v>88</x:v>
      </x:c>
      <x:c r="E125" s="17">
        <x:v>3</x:v>
      </x:c>
      <x:c r="F125" s="17">
        <x:v>2</x:v>
      </x:c>
      <x:c r="G125" s="17">
        <x:v>4</x:v>
      </x:c>
    </x:row>
    <x:row r="126" spans="4:7">
      <x:c r="D126" s="15" t="s">
        <x:v>33</x:v>
      </x:c>
      <x:c r="E126" s="17">
        <x:v>3</x:v>
      </x:c>
      <x:c r="F126" s="17">
        <x:v>2</x:v>
      </x:c>
      <x:c r="G126" s="17">
        <x:v>4</x:v>
      </x:c>
    </x:row>
    <x:row r="127" spans="4:7">
      <x:c r="D127" s="16" t="s">
        <x:v>73</x:v>
      </x:c>
      <x:c r="E127" s="17">
        <x:v>3</x:v>
      </x:c>
      <x:c r="F127" s="17">
        <x:v>2</x:v>
      </x:c>
      <x:c r="G127" s="17">
        <x:v>4</x:v>
      </x:c>
    </x:row>
    <x:row r="128" spans="4:7">
      <x:c r="D128" s="15" t="s">
        <x:v>50</x:v>
      </x:c>
      <x:c r="E128" s="17">
        <x:v>3</x:v>
      </x:c>
      <x:c r="F128" s="17">
        <x:v>2</x:v>
      </x:c>
      <x:c r="G128" s="17">
        <x:v>4</x:v>
      </x:c>
    </x:row>
    <x:row r="129" spans="4:7">
      <x:c r="D129" s="16" t="s">
        <x:v>65</x:v>
      </x:c>
      <x:c r="E129" s="17">
        <x:v>3</x:v>
      </x:c>
      <x:c r="F129" s="17">
        <x:v>2</x:v>
      </x:c>
      <x:c r="G129" s="17">
        <x:v>4</x:v>
      </x:c>
    </x:row>
    <x:row r="130" spans="4:7">
      <x:c r="D130" s="15" t="s">
        <x:v>229</x:v>
      </x:c>
      <x:c r="E130" s="17">
        <x:v>3</x:v>
      </x:c>
      <x:c r="F130" s="17">
        <x:v>2</x:v>
      </x:c>
      <x:c r="G130" s="17">
        <x:v>4</x:v>
      </x:c>
    </x:row>
    <x:row r="131" spans="4:7">
      <x:c r="D131" s="15" t="s">
        <x:v>189</x:v>
      </x:c>
      <x:c r="E131" s="17">
        <x:v>4</x:v>
      </x:c>
      <x:c r="F131" s="17">
        <x:v>3</x:v>
      </x:c>
      <x:c r="G131" s="17">
        <x:v>5</x:v>
      </x:c>
    </x:row>
    <x:row r="132" spans="4:7">
      <x:c r="D132" s="15" t="s">
        <x:v>181</x:v>
      </x:c>
      <x:c r="E132" s="17">
        <x:v>4</x:v>
      </x:c>
      <x:c r="F132" s="17">
        <x:v>3</x:v>
      </x:c>
      <x:c r="G132" s="17">
        <x:v>5</x:v>
      </x:c>
    </x:row>
    <x:row r="133" spans="4:7">
      <x:c r="D133" s="15" t="s">
        <x:v>35</x:v>
      </x:c>
      <x:c r="E133" s="17">
        <x:v>4</x:v>
      </x:c>
      <x:c r="F133" s="17">
        <x:v>3</x:v>
      </x:c>
      <x:c r="G133" s="17">
        <x:v>5</x:v>
      </x:c>
    </x:row>
    <x:row r="134" spans="4:7">
      <x:c r="D134" s="15" t="s">
        <x:v>63</x:v>
      </x:c>
      <x:c r="E134" s="17">
        <x:v>4</x:v>
      </x:c>
      <x:c r="F134" s="17">
        <x:v>3</x:v>
      </x:c>
      <x:c r="G134" s="17">
        <x:v>5</x:v>
      </x:c>
    </x:row>
    <x:row r="135" spans="4:7">
      <x:c r="D135" s="15" t="s">
        <x:v>43</x:v>
      </x:c>
      <x:c r="E135" s="17">
        <x:v>4</x:v>
      </x:c>
      <x:c r="F135" s="17">
        <x:v>3</x:v>
      </x:c>
      <x:c r="G135" s="17">
        <x:v>5</x:v>
      </x:c>
    </x:row>
    <x:row r="136" spans="4:7">
      <x:c r="D136" s="15" t="s">
        <x:v>40</x:v>
      </x:c>
      <x:c r="E136" s="17">
        <x:v>4</x:v>
      </x:c>
      <x:c r="F136" s="17">
        <x:v>3</x:v>
      </x:c>
      <x:c r="G136" s="17">
        <x:v>5</x:v>
      </x:c>
    </x:row>
    <x:row r="137" spans="4:7">
      <x:c r="D137" s="15" t="s">
        <x:v>176</x:v>
      </x:c>
      <x:c r="E137" s="17">
        <x:v>4</x:v>
      </x:c>
      <x:c r="F137" s="17">
        <x:v>3</x:v>
      </x:c>
      <x:c r="G137" s="17">
        <x:v>5</x:v>
      </x:c>
    </x:row>
    <x:row r="138" spans="4:7">
      <x:c r="D138" s="15" t="s">
        <x:v>64</x:v>
      </x:c>
      <x:c r="E138" s="17">
        <x:v>4</x:v>
      </x:c>
      <x:c r="F138" s="17">
        <x:v>3</x:v>
      </x:c>
      <x:c r="G138" s="17">
        <x:v>5</x:v>
      </x:c>
    </x:row>
    <x:row r="139" spans="4:7">
      <x:c r="D139" s="15" t="s">
        <x:v>179</x:v>
      </x:c>
      <x:c r="E139" s="17">
        <x:v>4</x:v>
      </x:c>
      <x:c r="F139" s="17">
        <x:v>3</x:v>
      </x:c>
      <x:c r="G139" s="17">
        <x:v>5</x:v>
      </x:c>
    </x:row>
    <x:row r="140" spans="4:7">
      <x:c r="D140" s="15" t="s">
        <x:v>47</x:v>
      </x:c>
      <x:c r="E140" s="17">
        <x:v>4</x:v>
      </x:c>
      <x:c r="F140" s="17">
        <x:v>3</x:v>
      </x:c>
      <x:c r="G140" s="17">
        <x:v>5</x:v>
      </x:c>
    </x:row>
    <x:row r="141" spans="4:7">
      <x:c r="D141" s="15" t="s">
        <x:v>12</x:v>
      </x:c>
      <x:c r="E141" s="17">
        <x:v>4</x:v>
      </x:c>
      <x:c r="F141" s="17">
        <x:v>3</x:v>
      </x:c>
      <x:c r="G141" s="17">
        <x:v>5</x:v>
      </x:c>
    </x:row>
    <x:row r="142" spans="4:7">
      <x:c r="D142" s="15" t="s">
        <x:v>89</x:v>
      </x:c>
      <x:c r="E142" s="17">
        <x:v>4</x:v>
      </x:c>
      <x:c r="F142" s="17">
        <x:v>3</x:v>
      </x:c>
      <x:c r="G142" s="17">
        <x:v>5</x:v>
      </x:c>
    </x:row>
    <x:row r="143" spans="4:7">
      <x:c r="D143" s="15" t="s">
        <x:v>196</x:v>
      </x:c>
      <x:c r="E143" s="17">
        <x:v>4</x:v>
      </x:c>
      <x:c r="F143" s="17">
        <x:v>3</x:v>
      </x:c>
      <x:c r="G143" s="17">
        <x:v>5</x:v>
      </x:c>
    </x:row>
    <x:row r="144" spans="4:7">
      <x:c r="D144" s="15" t="s">
        <x:v>84</x:v>
      </x:c>
      <x:c r="E144" s="17">
        <x:v>4</x:v>
      </x:c>
      <x:c r="F144" s="17">
        <x:v>3</x:v>
      </x:c>
      <x:c r="G144" s="17">
        <x:v>5</x:v>
      </x:c>
    </x:row>
    <x:row r="145" spans="4:7">
      <x:c r="D145" s="15" t="s">
        <x:v>13</x:v>
      </x:c>
      <x:c r="E145" s="17">
        <x:v>4</x:v>
      </x:c>
      <x:c r="F145" s="17">
        <x:v>3</x:v>
      </x:c>
      <x:c r="G145" s="17">
        <x:v>5</x:v>
      </x:c>
    </x:row>
    <x:row r="146" spans="4:7">
      <x:c r="D146" s="15" t="s">
        <x:v>194</x:v>
      </x:c>
      <x:c r="E146" s="17">
        <x:v>4</x:v>
      </x:c>
      <x:c r="F146" s="17">
        <x:v>3</x:v>
      </x:c>
      <x:c r="G146" s="17">
        <x:v>5</x:v>
      </x:c>
    </x:row>
    <x:row r="147" spans="4:7">
      <x:c r="D147" s="15" t="s">
        <x:v>182</x:v>
      </x:c>
      <x:c r="E147" s="17">
        <x:v>4</x:v>
      </x:c>
      <x:c r="F147" s="17">
        <x:v>3</x:v>
      </x:c>
      <x:c r="G147" s="17">
        <x:v>5</x:v>
      </x:c>
    </x:row>
    <x:row r="148" spans="4:7">
      <x:c r="D148" s="15" t="s">
        <x:v>74</x:v>
      </x:c>
      <x:c r="E148" s="17">
        <x:v>4</x:v>
      </x:c>
      <x:c r="F148" s="17">
        <x:v>3</x:v>
      </x:c>
      <x:c r="G148" s="17">
        <x:v>5</x:v>
      </x:c>
    </x:row>
    <x:row r="149" spans="4:7">
      <x:c r="D149" s="15" t="s">
        <x:v>208</x:v>
      </x:c>
      <x:c r="E149" s="17">
        <x:v>3</x:v>
      </x:c>
      <x:c r="F149" s="17">
        <x:v>2</x:v>
      </x:c>
      <x:c r="G149" s="17">
        <x:v>4</x:v>
      </x:c>
    </x:row>
    <x:row r="150" spans="4:7">
      <x:c r="D150" s="15" t="s">
        <x:v>206</x:v>
      </x:c>
      <x:c r="E150" s="17">
        <x:v>3</x:v>
      </x:c>
      <x:c r="F150" s="17">
        <x:v>2</x:v>
      </x:c>
      <x:c r="G150" s="17">
        <x:v>4</x:v>
      </x:c>
    </x:row>
    <x:row r="151" spans="4:7">
      <x:c r="D151" s="15" t="s">
        <x:v>49</x:v>
      </x:c>
      <x:c r="E151" s="17">
        <x:v>3</x:v>
      </x:c>
      <x:c r="F151" s="17">
        <x:v>2</x:v>
      </x:c>
      <x:c r="G151" s="17">
        <x:v>4</x:v>
      </x:c>
    </x:row>
    <x:row r="152" spans="4:7">
      <x:c r="D152" s="15" t="s">
        <x:v>32</x:v>
      </x:c>
      <x:c r="E152" s="17">
        <x:v>3</x:v>
      </x:c>
      <x:c r="F152" s="17">
        <x:v>2</x:v>
      </x:c>
      <x:c r="G152" s="17">
        <x:v>4</x:v>
      </x:c>
    </x:row>
    <x:row r="153" spans="4:7">
      <x:c r="D153" s="15" t="s">
        <x:v>7</x:v>
      </x:c>
      <x:c r="E153" s="17">
        <x:v>4</x:v>
      </x:c>
      <x:c r="F153" s="17">
        <x:v>3</x:v>
      </x:c>
      <x:c r="G153" s="17">
        <x:v>5</x:v>
      </x:c>
    </x:row>
    <x:row r="154" spans="4:7">
      <x:c r="D154" s="15" t="s">
        <x:v>166</x:v>
      </x:c>
      <x:c r="E154" s="17">
        <x:v>4</x:v>
      </x:c>
      <x:c r="F154" s="17">
        <x:v>3</x:v>
      </x:c>
      <x:c r="G154" s="17">
        <x:v>5</x:v>
      </x:c>
    </x:row>
    <x:row r="155" spans="4:7">
      <x:c r="D155" s="15" t="s">
        <x:v>169</x:v>
      </x:c>
      <x:c r="E155" s="18">
        <x:v>2</x:v>
      </x:c>
      <x:c r="F155" s="18">
        <x:v>1</x:v>
      </x:c>
      <x:c r="G155" s="18">
        <x:v>2</x:v>
      </x:c>
    </x:row>
    <x:row r="156" spans="4:7">
      <x:c r="D156" s="15" t="s">
        <x:v>210</x:v>
      </x:c>
      <x:c r="E156" s="17">
        <x:v>4</x:v>
      </x:c>
      <x:c r="F156" s="17">
        <x:v>3</x:v>
      </x:c>
      <x:c r="G156" s="17">
        <x:v>5</x:v>
      </x:c>
    </x:row>
    <x:row r="157" spans="4:7">
      <x:c r="D157" s="15" t="s">
        <x:v>205</x:v>
      </x:c>
      <x:c r="E157" s="17">
        <x:v>4</x:v>
      </x:c>
      <x:c r="F157" s="17">
        <x:v>3</x:v>
      </x:c>
      <x:c r="G157" s="17">
        <x:v>5</x:v>
      </x:c>
    </x:row>
    <x:row r="158" spans="4:7">
      <x:c r="D158" s="15" t="s">
        <x:v>108</x:v>
      </x:c>
      <x:c r="E158" s="17">
        <x:v>4</x:v>
      </x:c>
      <x:c r="F158" s="17">
        <x:v>3</x:v>
      </x:c>
      <x:c r="G158" s="17">
        <x:v>5</x:v>
      </x:c>
    </x:row>
    <x:row r="159" spans="4:7">
      <x:c r="D159" s="15" t="s">
        <x:v>202</x:v>
      </x:c>
      <x:c r="E159" s="17">
        <x:v>4</x:v>
      </x:c>
      <x:c r="F159" s="17">
        <x:v>3</x:v>
      </x:c>
      <x:c r="G159" s="17">
        <x:v>5</x:v>
      </x:c>
    </x:row>
    <x:row r="160" spans="4:7">
      <x:c r="D160" s="15" t="s">
        <x:v>212</x:v>
      </x:c>
      <x:c r="E160" s="17">
        <x:v>4</x:v>
      </x:c>
      <x:c r="F160" s="17">
        <x:v>3</x:v>
      </x:c>
      <x:c r="G160" s="17">
        <x:v>5</x:v>
      </x:c>
    </x:row>
    <x:row r="161" spans="4:7">
      <x:c r="D161" s="15" t="s">
        <x:v>121</x:v>
      </x:c>
      <x:c r="E161" s="17">
        <x:v>4</x:v>
      </x:c>
      <x:c r="F161" s="17">
        <x:v>3</x:v>
      </x:c>
      <x:c r="G161" s="17">
        <x:v>5</x:v>
      </x:c>
    </x:row>
    <x:row r="162" spans="4:7">
      <x:c r="D162" s="15" t="s">
        <x:v>61</x:v>
      </x:c>
      <x:c r="E162" s="17">
        <x:v>4</x:v>
      </x:c>
      <x:c r="F162" s="17">
        <x:v>3</x:v>
      </x:c>
      <x:c r="G162" s="17">
        <x:v>5</x:v>
      </x:c>
    </x:row>
    <x:row r="163" spans="4:7">
      <x:c r="D163" s="15" t="s">
        <x:v>46</x:v>
      </x:c>
      <x:c r="E163" s="17">
        <x:v>4</x:v>
      </x:c>
      <x:c r="F163" s="17">
        <x:v>3</x:v>
      </x:c>
      <x:c r="G163" s="17">
        <x:v>5</x:v>
      </x:c>
    </x:row>
    <x:row r="164" spans="4:7">
      <x:c r="D164" s="15" t="s">
        <x:v>20</x:v>
      </x:c>
      <x:c r="E164" s="17">
        <x:v>4</x:v>
      </x:c>
      <x:c r="F164" s="17">
        <x:v>3</x:v>
      </x:c>
      <x:c r="G164" s="17">
        <x:v>5</x:v>
      </x:c>
    </x:row>
    <x:row r="165" spans="4:7">
      <x:c r="D165" s="15" t="s">
        <x:v>79</x:v>
      </x:c>
      <x:c r="E165" s="17">
        <x:v>4</x:v>
      </x:c>
      <x:c r="F165" s="17">
        <x:v>3</x:v>
      </x:c>
      <x:c r="G165" s="17">
        <x:v>5</x:v>
      </x:c>
    </x:row>
    <x:row r="166" spans="4:7">
      <x:c r="D166" s="15" t="s">
        <x:v>187</x:v>
      </x:c>
      <x:c r="E166" s="17">
        <x:v>4</x:v>
      </x:c>
      <x:c r="F166" s="17">
        <x:v>3</x:v>
      </x:c>
      <x:c r="G166" s="17">
        <x:v>5</x:v>
      </x:c>
    </x:row>
    <x:row r="167" spans="4:7">
      <x:c r="D167" s="15" t="s">
        <x:v>167</x:v>
      </x:c>
      <x:c r="E167" s="17">
        <x:v>3</x:v>
      </x:c>
      <x:c r="F167" s="17">
        <x:v>2</x:v>
      </x:c>
      <x:c r="G167" s="17">
        <x:v>4</x:v>
      </x:c>
    </x:row>
    <x:row r="168" spans="4:7">
      <x:c r="D168" s="15" t="s">
        <x:v>222</x:v>
      </x:c>
      <x:c r="E168" s="17">
        <x:v>3</x:v>
      </x:c>
      <x:c r="F168" s="17">
        <x:v>2</x:v>
      </x:c>
      <x:c r="G168" s="17">
        <x:v>4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P109"/>
  <x:sheetViews>
    <x:sheetView tabSelected="1" topLeftCell="A1" zoomScale="85" zoomScaleNormal="85" zoomScaleSheetLayoutView="85" workbookViewId="0">
      <x:selection activeCell="Q1" activeCellId="0" sqref="Q1:Q1"/>
    </x:sheetView>
  </x:sheetViews>
  <x:sheetFormatPr defaultColWidth="8.88671875" defaultRowHeight="13.55000000000000071054"/>
  <x:cols>
    <x:col min="1" max="1" width="5" style="36" customWidth="1"/>
    <x:col min="2" max="2" width="13" style="37" customWidth="1"/>
    <x:col min="3" max="3" width="7.59765625" style="37" customWidth="1"/>
    <x:col min="4" max="4" width="22" style="37" customWidth="1"/>
    <x:col min="5" max="12" width="5.796875" style="37" customWidth="1"/>
    <x:col min="13" max="14" width="13.69921875" style="37" customWidth="1"/>
    <x:col min="15" max="16" width="5.796875" style="37" customWidth="1"/>
    <x:col min="235" max="235" width="3.59765625" customWidth="1"/>
    <x:col min="236" max="238" width="5.796875" customWidth="1"/>
    <x:col min="239" max="239" width="11.09765625" customWidth="1"/>
    <x:col min="240" max="247" width="5.796875" customWidth="1"/>
    <x:col min="248" max="248" width="7.09765625" customWidth="1"/>
    <x:col min="249" max="250" width="5.796875" customWidth="1"/>
    <x:col min="251" max="251" width="6" customWidth="1"/>
    <x:col min="491" max="491" width="3.59765625" customWidth="1"/>
    <x:col min="492" max="494" width="5.796875" customWidth="1"/>
    <x:col min="495" max="495" width="11.09765625" customWidth="1"/>
    <x:col min="496" max="503" width="5.796875" customWidth="1"/>
    <x:col min="504" max="504" width="7.09765625" customWidth="1"/>
    <x:col min="505" max="506" width="5.796875" customWidth="1"/>
    <x:col min="507" max="507" width="6" customWidth="1"/>
    <x:col min="747" max="747" width="3.59765625" customWidth="1"/>
    <x:col min="748" max="750" width="5.796875" customWidth="1"/>
    <x:col min="751" max="751" width="11.09765625" customWidth="1"/>
    <x:col min="752" max="759" width="5.796875" customWidth="1"/>
    <x:col min="760" max="760" width="7.09765625" customWidth="1"/>
    <x:col min="761" max="762" width="5.796875" customWidth="1"/>
    <x:col min="763" max="763" width="6" customWidth="1"/>
    <x:col min="1003" max="1003" width="3.59765625" customWidth="1"/>
    <x:col min="1004" max="1006" width="5.796875" customWidth="1"/>
    <x:col min="1007" max="1007" width="11.09765625" customWidth="1"/>
    <x:col min="1008" max="1015" width="5.796875" customWidth="1"/>
    <x:col min="1016" max="1016" width="7.09765625" customWidth="1"/>
    <x:col min="1017" max="1018" width="5.796875" customWidth="1"/>
    <x:col min="1019" max="1019" width="6" customWidth="1"/>
    <x:col min="1259" max="1259" width="3.59765625" customWidth="1"/>
    <x:col min="1260" max="1262" width="5.796875" customWidth="1"/>
    <x:col min="1263" max="1263" width="11.09765625" customWidth="1"/>
    <x:col min="1264" max="1271" width="5.796875" customWidth="1"/>
    <x:col min="1272" max="1272" width="7.09765625" customWidth="1"/>
    <x:col min="1273" max="1274" width="5.796875" customWidth="1"/>
    <x:col min="1275" max="1275" width="6" customWidth="1"/>
    <x:col min="1515" max="1515" width="3.59765625" customWidth="1"/>
    <x:col min="1516" max="1518" width="5.796875" customWidth="1"/>
    <x:col min="1519" max="1519" width="11.09765625" customWidth="1"/>
    <x:col min="1520" max="1527" width="5.796875" customWidth="1"/>
    <x:col min="1528" max="1528" width="7.09765625" customWidth="1"/>
    <x:col min="1529" max="1530" width="5.796875" customWidth="1"/>
    <x:col min="1531" max="1531" width="6" customWidth="1"/>
    <x:col min="1771" max="1771" width="3.59765625" customWidth="1"/>
    <x:col min="1772" max="1774" width="5.796875" customWidth="1"/>
    <x:col min="1775" max="1775" width="11.09765625" customWidth="1"/>
    <x:col min="1776" max="1783" width="5.796875" customWidth="1"/>
    <x:col min="1784" max="1784" width="7.09765625" customWidth="1"/>
    <x:col min="1785" max="1786" width="5.796875" customWidth="1"/>
    <x:col min="1787" max="1787" width="6" customWidth="1"/>
    <x:col min="2027" max="2027" width="3.59765625" customWidth="1"/>
    <x:col min="2028" max="2030" width="5.796875" customWidth="1"/>
    <x:col min="2031" max="2031" width="11.09765625" customWidth="1"/>
    <x:col min="2032" max="2039" width="5.796875" customWidth="1"/>
    <x:col min="2040" max="2040" width="7.09765625" customWidth="1"/>
    <x:col min="2041" max="2042" width="5.796875" customWidth="1"/>
    <x:col min="2043" max="2043" width="6" customWidth="1"/>
    <x:col min="2283" max="2283" width="3.59765625" customWidth="1"/>
    <x:col min="2284" max="2286" width="5.796875" customWidth="1"/>
    <x:col min="2287" max="2287" width="11.09765625" customWidth="1"/>
    <x:col min="2288" max="2295" width="5.796875" customWidth="1"/>
    <x:col min="2296" max="2296" width="7.09765625" customWidth="1"/>
    <x:col min="2297" max="2298" width="5.796875" customWidth="1"/>
    <x:col min="2299" max="2299" width="6" customWidth="1"/>
    <x:col min="2539" max="2539" width="3.59765625" customWidth="1"/>
    <x:col min="2540" max="2542" width="5.796875" customWidth="1"/>
    <x:col min="2543" max="2543" width="11.09765625" customWidth="1"/>
    <x:col min="2544" max="2551" width="5.796875" customWidth="1"/>
    <x:col min="2552" max="2552" width="7.09765625" customWidth="1"/>
    <x:col min="2553" max="2554" width="5.796875" customWidth="1"/>
    <x:col min="2555" max="2555" width="6" customWidth="1"/>
    <x:col min="2795" max="2795" width="3.59765625" customWidth="1"/>
    <x:col min="2796" max="2798" width="5.796875" customWidth="1"/>
    <x:col min="2799" max="2799" width="11.09765625" customWidth="1"/>
    <x:col min="2800" max="2807" width="5.796875" customWidth="1"/>
    <x:col min="2808" max="2808" width="7.09765625" customWidth="1"/>
    <x:col min="2809" max="2810" width="5.796875" customWidth="1"/>
    <x:col min="2811" max="2811" width="6" customWidth="1"/>
    <x:col min="3051" max="3051" width="3.59765625" customWidth="1"/>
    <x:col min="3052" max="3054" width="5.796875" customWidth="1"/>
    <x:col min="3055" max="3055" width="11.09765625" customWidth="1"/>
    <x:col min="3056" max="3063" width="5.796875" customWidth="1"/>
    <x:col min="3064" max="3064" width="7.09765625" customWidth="1"/>
    <x:col min="3065" max="3066" width="5.796875" customWidth="1"/>
    <x:col min="3067" max="3067" width="6" customWidth="1"/>
    <x:col min="3307" max="3307" width="3.59765625" customWidth="1"/>
    <x:col min="3308" max="3310" width="5.796875" customWidth="1"/>
    <x:col min="3311" max="3311" width="11.09765625" customWidth="1"/>
    <x:col min="3312" max="3319" width="5.796875" customWidth="1"/>
    <x:col min="3320" max="3320" width="7.09765625" customWidth="1"/>
    <x:col min="3321" max="3322" width="5.796875" customWidth="1"/>
    <x:col min="3323" max="3323" width="6" customWidth="1"/>
    <x:col min="3563" max="3563" width="3.59765625" customWidth="1"/>
    <x:col min="3564" max="3566" width="5.796875" customWidth="1"/>
    <x:col min="3567" max="3567" width="11.09765625" customWidth="1"/>
    <x:col min="3568" max="3575" width="5.796875" customWidth="1"/>
    <x:col min="3576" max="3576" width="7.09765625" customWidth="1"/>
    <x:col min="3577" max="3578" width="5.796875" customWidth="1"/>
    <x:col min="3579" max="3579" width="6" customWidth="1"/>
    <x:col min="3819" max="3819" width="3.59765625" customWidth="1"/>
    <x:col min="3820" max="3822" width="5.796875" customWidth="1"/>
    <x:col min="3823" max="3823" width="11.09765625" customWidth="1"/>
    <x:col min="3824" max="3831" width="5.796875" customWidth="1"/>
    <x:col min="3832" max="3832" width="7.09765625" customWidth="1"/>
    <x:col min="3833" max="3834" width="5.796875" customWidth="1"/>
    <x:col min="3835" max="3835" width="6" customWidth="1"/>
    <x:col min="4075" max="4075" width="3.59765625" customWidth="1"/>
    <x:col min="4076" max="4078" width="5.796875" customWidth="1"/>
    <x:col min="4079" max="4079" width="11.09765625" customWidth="1"/>
    <x:col min="4080" max="4087" width="5.796875" customWidth="1"/>
    <x:col min="4088" max="4088" width="7.09765625" customWidth="1"/>
    <x:col min="4089" max="4090" width="5.796875" customWidth="1"/>
    <x:col min="4091" max="4091" width="6" customWidth="1"/>
    <x:col min="4331" max="4331" width="3.59765625" customWidth="1"/>
    <x:col min="4332" max="4334" width="5.796875" customWidth="1"/>
    <x:col min="4335" max="4335" width="11.09765625" customWidth="1"/>
    <x:col min="4336" max="4343" width="5.796875" customWidth="1"/>
    <x:col min="4344" max="4344" width="7.09765625" customWidth="1"/>
    <x:col min="4345" max="4346" width="5.796875" customWidth="1"/>
    <x:col min="4347" max="4347" width="6" customWidth="1"/>
    <x:col min="4587" max="4587" width="3.59765625" customWidth="1"/>
    <x:col min="4588" max="4590" width="5.796875" customWidth="1"/>
    <x:col min="4591" max="4591" width="11.09765625" customWidth="1"/>
    <x:col min="4592" max="4599" width="5.796875" customWidth="1"/>
    <x:col min="4600" max="4600" width="7.09765625" customWidth="1"/>
    <x:col min="4601" max="4602" width="5.796875" customWidth="1"/>
    <x:col min="4603" max="4603" width="6" customWidth="1"/>
    <x:col min="4843" max="4843" width="3.59765625" customWidth="1"/>
    <x:col min="4844" max="4846" width="5.796875" customWidth="1"/>
    <x:col min="4847" max="4847" width="11.09765625" customWidth="1"/>
    <x:col min="4848" max="4855" width="5.796875" customWidth="1"/>
    <x:col min="4856" max="4856" width="7.09765625" customWidth="1"/>
    <x:col min="4857" max="4858" width="5.796875" customWidth="1"/>
    <x:col min="4859" max="4859" width="6" customWidth="1"/>
    <x:col min="5099" max="5099" width="3.59765625" customWidth="1"/>
    <x:col min="5100" max="5102" width="5.796875" customWidth="1"/>
    <x:col min="5103" max="5103" width="11.09765625" customWidth="1"/>
    <x:col min="5104" max="5111" width="5.796875" customWidth="1"/>
    <x:col min="5112" max="5112" width="7.09765625" customWidth="1"/>
    <x:col min="5113" max="5114" width="5.796875" customWidth="1"/>
    <x:col min="5115" max="5115" width="6" customWidth="1"/>
    <x:col min="5355" max="5355" width="3.59765625" customWidth="1"/>
    <x:col min="5356" max="5358" width="5.796875" customWidth="1"/>
    <x:col min="5359" max="5359" width="11.09765625" customWidth="1"/>
    <x:col min="5360" max="5367" width="5.796875" customWidth="1"/>
    <x:col min="5368" max="5368" width="7.09765625" customWidth="1"/>
    <x:col min="5369" max="5370" width="5.796875" customWidth="1"/>
    <x:col min="5371" max="5371" width="6" customWidth="1"/>
    <x:col min="5611" max="5611" width="3.59765625" customWidth="1"/>
    <x:col min="5612" max="5614" width="5.796875" customWidth="1"/>
    <x:col min="5615" max="5615" width="11.09765625" customWidth="1"/>
    <x:col min="5616" max="5623" width="5.796875" customWidth="1"/>
    <x:col min="5624" max="5624" width="7.09765625" customWidth="1"/>
    <x:col min="5625" max="5626" width="5.796875" customWidth="1"/>
    <x:col min="5627" max="5627" width="6" customWidth="1"/>
    <x:col min="5867" max="5867" width="3.59765625" customWidth="1"/>
    <x:col min="5868" max="5870" width="5.796875" customWidth="1"/>
    <x:col min="5871" max="5871" width="11.09765625" customWidth="1"/>
    <x:col min="5872" max="5879" width="5.796875" customWidth="1"/>
    <x:col min="5880" max="5880" width="7.09765625" customWidth="1"/>
    <x:col min="5881" max="5882" width="5.796875" customWidth="1"/>
    <x:col min="5883" max="5883" width="6" customWidth="1"/>
    <x:col min="6123" max="6123" width="3.59765625" customWidth="1"/>
    <x:col min="6124" max="6126" width="5.796875" customWidth="1"/>
    <x:col min="6127" max="6127" width="11.09765625" customWidth="1"/>
    <x:col min="6128" max="6135" width="5.796875" customWidth="1"/>
    <x:col min="6136" max="6136" width="7.09765625" customWidth="1"/>
    <x:col min="6137" max="6138" width="5.796875" customWidth="1"/>
    <x:col min="6139" max="6139" width="6" customWidth="1"/>
    <x:col min="6379" max="6379" width="3.59765625" customWidth="1"/>
    <x:col min="6380" max="6382" width="5.796875" customWidth="1"/>
    <x:col min="6383" max="6383" width="11.09765625" customWidth="1"/>
    <x:col min="6384" max="6391" width="5.796875" customWidth="1"/>
    <x:col min="6392" max="6392" width="7.09765625" customWidth="1"/>
    <x:col min="6393" max="6394" width="5.796875" customWidth="1"/>
    <x:col min="6395" max="6395" width="6" customWidth="1"/>
    <x:col min="6635" max="6635" width="3.59765625" customWidth="1"/>
    <x:col min="6636" max="6638" width="5.796875" customWidth="1"/>
    <x:col min="6639" max="6639" width="11.09765625" customWidth="1"/>
    <x:col min="6640" max="6647" width="5.796875" customWidth="1"/>
    <x:col min="6648" max="6648" width="7.09765625" customWidth="1"/>
    <x:col min="6649" max="6650" width="5.796875" customWidth="1"/>
    <x:col min="6651" max="6651" width="6" customWidth="1"/>
    <x:col min="6891" max="6891" width="3.59765625" customWidth="1"/>
    <x:col min="6892" max="6894" width="5.796875" customWidth="1"/>
    <x:col min="6895" max="6895" width="11.09765625" customWidth="1"/>
    <x:col min="6896" max="6903" width="5.796875" customWidth="1"/>
    <x:col min="6904" max="6904" width="7.09765625" customWidth="1"/>
    <x:col min="6905" max="6906" width="5.796875" customWidth="1"/>
    <x:col min="6907" max="6907" width="6" customWidth="1"/>
    <x:col min="7147" max="7147" width="3.59765625" customWidth="1"/>
    <x:col min="7148" max="7150" width="5.796875" customWidth="1"/>
    <x:col min="7151" max="7151" width="11.09765625" customWidth="1"/>
    <x:col min="7152" max="7159" width="5.796875" customWidth="1"/>
    <x:col min="7160" max="7160" width="7.09765625" customWidth="1"/>
    <x:col min="7161" max="7162" width="5.796875" customWidth="1"/>
    <x:col min="7163" max="7163" width="6" customWidth="1"/>
    <x:col min="7403" max="7403" width="3.59765625" customWidth="1"/>
    <x:col min="7404" max="7406" width="5.796875" customWidth="1"/>
    <x:col min="7407" max="7407" width="11.09765625" customWidth="1"/>
    <x:col min="7408" max="7415" width="5.796875" customWidth="1"/>
    <x:col min="7416" max="7416" width="7.09765625" customWidth="1"/>
    <x:col min="7417" max="7418" width="5.796875" customWidth="1"/>
    <x:col min="7419" max="7419" width="6" customWidth="1"/>
    <x:col min="7659" max="7659" width="3.59765625" customWidth="1"/>
    <x:col min="7660" max="7662" width="5.796875" customWidth="1"/>
    <x:col min="7663" max="7663" width="11.09765625" customWidth="1"/>
    <x:col min="7664" max="7671" width="5.796875" customWidth="1"/>
    <x:col min="7672" max="7672" width="7.09765625" customWidth="1"/>
    <x:col min="7673" max="7674" width="5.796875" customWidth="1"/>
    <x:col min="7675" max="7675" width="6" customWidth="1"/>
    <x:col min="7915" max="7915" width="3.59765625" customWidth="1"/>
    <x:col min="7916" max="7918" width="5.796875" customWidth="1"/>
    <x:col min="7919" max="7919" width="11.09765625" customWidth="1"/>
    <x:col min="7920" max="7927" width="5.796875" customWidth="1"/>
    <x:col min="7928" max="7928" width="7.09765625" customWidth="1"/>
    <x:col min="7929" max="7930" width="5.796875" customWidth="1"/>
    <x:col min="7931" max="7931" width="6" customWidth="1"/>
    <x:col min="8171" max="8171" width="3.59765625" customWidth="1"/>
    <x:col min="8172" max="8174" width="5.796875" customWidth="1"/>
    <x:col min="8175" max="8175" width="11.09765625" customWidth="1"/>
    <x:col min="8176" max="8183" width="5.796875" customWidth="1"/>
    <x:col min="8184" max="8184" width="7.09765625" customWidth="1"/>
    <x:col min="8185" max="8186" width="5.796875" customWidth="1"/>
    <x:col min="8187" max="8187" width="6" customWidth="1"/>
    <x:col min="8427" max="8427" width="3.59765625" customWidth="1"/>
    <x:col min="8428" max="8430" width="5.796875" customWidth="1"/>
    <x:col min="8431" max="8431" width="11.09765625" customWidth="1"/>
    <x:col min="8432" max="8439" width="5.796875" customWidth="1"/>
    <x:col min="8440" max="8440" width="7.09765625" customWidth="1"/>
    <x:col min="8441" max="8442" width="5.796875" customWidth="1"/>
    <x:col min="8443" max="8443" width="6" customWidth="1"/>
    <x:col min="8683" max="8683" width="3.59765625" customWidth="1"/>
    <x:col min="8684" max="8686" width="5.796875" customWidth="1"/>
    <x:col min="8687" max="8687" width="11.09765625" customWidth="1"/>
    <x:col min="8688" max="8695" width="5.796875" customWidth="1"/>
    <x:col min="8696" max="8696" width="7.09765625" customWidth="1"/>
    <x:col min="8697" max="8698" width="5.796875" customWidth="1"/>
    <x:col min="8699" max="8699" width="6" customWidth="1"/>
    <x:col min="8939" max="8939" width="3.59765625" customWidth="1"/>
    <x:col min="8940" max="8942" width="5.796875" customWidth="1"/>
    <x:col min="8943" max="8943" width="11.09765625" customWidth="1"/>
    <x:col min="8944" max="8951" width="5.796875" customWidth="1"/>
    <x:col min="8952" max="8952" width="7.09765625" customWidth="1"/>
    <x:col min="8953" max="8954" width="5.796875" customWidth="1"/>
    <x:col min="8955" max="8955" width="6" customWidth="1"/>
    <x:col min="9195" max="9195" width="3.59765625" customWidth="1"/>
    <x:col min="9196" max="9198" width="5.796875" customWidth="1"/>
    <x:col min="9199" max="9199" width="11.09765625" customWidth="1"/>
    <x:col min="9200" max="9207" width="5.796875" customWidth="1"/>
    <x:col min="9208" max="9208" width="7.09765625" customWidth="1"/>
    <x:col min="9209" max="9210" width="5.796875" customWidth="1"/>
    <x:col min="9211" max="9211" width="6" customWidth="1"/>
    <x:col min="9451" max="9451" width="3.59765625" customWidth="1"/>
    <x:col min="9452" max="9454" width="5.796875" customWidth="1"/>
    <x:col min="9455" max="9455" width="11.09765625" customWidth="1"/>
    <x:col min="9456" max="9463" width="5.796875" customWidth="1"/>
    <x:col min="9464" max="9464" width="7.09765625" customWidth="1"/>
    <x:col min="9465" max="9466" width="5.796875" customWidth="1"/>
    <x:col min="9467" max="9467" width="6" customWidth="1"/>
    <x:col min="9707" max="9707" width="3.59765625" customWidth="1"/>
    <x:col min="9708" max="9710" width="5.796875" customWidth="1"/>
    <x:col min="9711" max="9711" width="11.09765625" customWidth="1"/>
    <x:col min="9712" max="9719" width="5.796875" customWidth="1"/>
    <x:col min="9720" max="9720" width="7.09765625" customWidth="1"/>
    <x:col min="9721" max="9722" width="5.796875" customWidth="1"/>
    <x:col min="9723" max="9723" width="6" customWidth="1"/>
    <x:col min="9963" max="9963" width="3.59765625" customWidth="1"/>
    <x:col min="9964" max="9966" width="5.796875" customWidth="1"/>
    <x:col min="9967" max="9967" width="11.09765625" customWidth="1"/>
    <x:col min="9968" max="9975" width="5.796875" customWidth="1"/>
    <x:col min="9976" max="9976" width="7.09765625" customWidth="1"/>
    <x:col min="9977" max="9978" width="5.796875" customWidth="1"/>
    <x:col min="9979" max="9979" width="6" customWidth="1"/>
    <x:col min="10219" max="10219" width="3.59765625" customWidth="1"/>
    <x:col min="10220" max="10222" width="5.796875" customWidth="1"/>
    <x:col min="10223" max="10223" width="11.09765625" customWidth="1"/>
    <x:col min="10224" max="10231" width="5.796875" customWidth="1"/>
    <x:col min="10232" max="10232" width="7.09765625" customWidth="1"/>
    <x:col min="10233" max="10234" width="5.796875" customWidth="1"/>
    <x:col min="10235" max="10235" width="6" customWidth="1"/>
    <x:col min="10475" max="10475" width="3.59765625" customWidth="1"/>
    <x:col min="10476" max="10478" width="5.796875" customWidth="1"/>
    <x:col min="10479" max="10479" width="11.09765625" customWidth="1"/>
    <x:col min="10480" max="10487" width="5.796875" customWidth="1"/>
    <x:col min="10488" max="10488" width="7.09765625" customWidth="1"/>
    <x:col min="10489" max="10490" width="5.796875" customWidth="1"/>
    <x:col min="10491" max="10491" width="6" customWidth="1"/>
    <x:col min="10731" max="10731" width="3.59765625" customWidth="1"/>
    <x:col min="10732" max="10734" width="5.796875" customWidth="1"/>
    <x:col min="10735" max="10735" width="11.09765625" customWidth="1"/>
    <x:col min="10736" max="10743" width="5.796875" customWidth="1"/>
    <x:col min="10744" max="10744" width="7.09765625" customWidth="1"/>
    <x:col min="10745" max="10746" width="5.796875" customWidth="1"/>
    <x:col min="10747" max="10747" width="6" customWidth="1"/>
    <x:col min="10987" max="10987" width="3.59765625" customWidth="1"/>
    <x:col min="10988" max="10990" width="5.796875" customWidth="1"/>
    <x:col min="10991" max="10991" width="11.09765625" customWidth="1"/>
    <x:col min="10992" max="10999" width="5.796875" customWidth="1"/>
    <x:col min="11000" max="11000" width="7.09765625" customWidth="1"/>
    <x:col min="11001" max="11002" width="5.796875" customWidth="1"/>
    <x:col min="11003" max="11003" width="6" customWidth="1"/>
    <x:col min="11243" max="11243" width="3.59765625" customWidth="1"/>
    <x:col min="11244" max="11246" width="5.796875" customWidth="1"/>
    <x:col min="11247" max="11247" width="11.09765625" customWidth="1"/>
    <x:col min="11248" max="11255" width="5.796875" customWidth="1"/>
    <x:col min="11256" max="11256" width="7.09765625" customWidth="1"/>
    <x:col min="11257" max="11258" width="5.796875" customWidth="1"/>
    <x:col min="11259" max="11259" width="6" customWidth="1"/>
    <x:col min="11499" max="11499" width="3.59765625" customWidth="1"/>
    <x:col min="11500" max="11502" width="5.796875" customWidth="1"/>
    <x:col min="11503" max="11503" width="11.09765625" customWidth="1"/>
    <x:col min="11504" max="11511" width="5.796875" customWidth="1"/>
    <x:col min="11512" max="11512" width="7.09765625" customWidth="1"/>
    <x:col min="11513" max="11514" width="5.796875" customWidth="1"/>
    <x:col min="11515" max="11515" width="6" customWidth="1"/>
    <x:col min="11755" max="11755" width="3.59765625" customWidth="1"/>
    <x:col min="11756" max="11758" width="5.796875" customWidth="1"/>
    <x:col min="11759" max="11759" width="11.09765625" customWidth="1"/>
    <x:col min="11760" max="11767" width="5.796875" customWidth="1"/>
    <x:col min="11768" max="11768" width="7.09765625" customWidth="1"/>
    <x:col min="11769" max="11770" width="5.796875" customWidth="1"/>
    <x:col min="11771" max="11771" width="6" customWidth="1"/>
    <x:col min="12011" max="12011" width="3.59765625" customWidth="1"/>
    <x:col min="12012" max="12014" width="5.796875" customWidth="1"/>
    <x:col min="12015" max="12015" width="11.09765625" customWidth="1"/>
    <x:col min="12016" max="12023" width="5.796875" customWidth="1"/>
    <x:col min="12024" max="12024" width="7.09765625" customWidth="1"/>
    <x:col min="12025" max="12026" width="5.796875" customWidth="1"/>
    <x:col min="12027" max="12027" width="6" customWidth="1"/>
    <x:col min="12267" max="12267" width="3.59765625" customWidth="1"/>
    <x:col min="12268" max="12270" width="5.796875" customWidth="1"/>
    <x:col min="12271" max="12271" width="11.09765625" customWidth="1"/>
    <x:col min="12272" max="12279" width="5.796875" customWidth="1"/>
    <x:col min="12280" max="12280" width="7.09765625" customWidth="1"/>
    <x:col min="12281" max="12282" width="5.796875" customWidth="1"/>
    <x:col min="12283" max="12283" width="6" customWidth="1"/>
    <x:col min="12523" max="12523" width="3.59765625" customWidth="1"/>
    <x:col min="12524" max="12526" width="5.796875" customWidth="1"/>
    <x:col min="12527" max="12527" width="11.09765625" customWidth="1"/>
    <x:col min="12528" max="12535" width="5.796875" customWidth="1"/>
    <x:col min="12536" max="12536" width="7.09765625" customWidth="1"/>
    <x:col min="12537" max="12538" width="5.796875" customWidth="1"/>
    <x:col min="12539" max="12539" width="6" customWidth="1"/>
    <x:col min="12779" max="12779" width="3.59765625" customWidth="1"/>
    <x:col min="12780" max="12782" width="5.796875" customWidth="1"/>
    <x:col min="12783" max="12783" width="11.09765625" customWidth="1"/>
    <x:col min="12784" max="12791" width="5.796875" customWidth="1"/>
    <x:col min="12792" max="12792" width="7.09765625" customWidth="1"/>
    <x:col min="12793" max="12794" width="5.796875" customWidth="1"/>
    <x:col min="12795" max="12795" width="6" customWidth="1"/>
    <x:col min="13035" max="13035" width="3.59765625" customWidth="1"/>
    <x:col min="13036" max="13038" width="5.796875" customWidth="1"/>
    <x:col min="13039" max="13039" width="11.09765625" customWidth="1"/>
    <x:col min="13040" max="13047" width="5.796875" customWidth="1"/>
    <x:col min="13048" max="13048" width="7.09765625" customWidth="1"/>
    <x:col min="13049" max="13050" width="5.796875" customWidth="1"/>
    <x:col min="13051" max="13051" width="6" customWidth="1"/>
    <x:col min="13291" max="13291" width="3.59765625" customWidth="1"/>
    <x:col min="13292" max="13294" width="5.796875" customWidth="1"/>
    <x:col min="13295" max="13295" width="11.09765625" customWidth="1"/>
    <x:col min="13296" max="13303" width="5.796875" customWidth="1"/>
    <x:col min="13304" max="13304" width="7.09765625" customWidth="1"/>
    <x:col min="13305" max="13306" width="5.796875" customWidth="1"/>
    <x:col min="13307" max="13307" width="6" customWidth="1"/>
    <x:col min="13547" max="13547" width="3.59765625" customWidth="1"/>
    <x:col min="13548" max="13550" width="5.796875" customWidth="1"/>
    <x:col min="13551" max="13551" width="11.09765625" customWidth="1"/>
    <x:col min="13552" max="13559" width="5.796875" customWidth="1"/>
    <x:col min="13560" max="13560" width="7.09765625" customWidth="1"/>
    <x:col min="13561" max="13562" width="5.796875" customWidth="1"/>
    <x:col min="13563" max="13563" width="6" customWidth="1"/>
    <x:col min="13803" max="13803" width="3.59765625" customWidth="1"/>
    <x:col min="13804" max="13806" width="5.796875" customWidth="1"/>
    <x:col min="13807" max="13807" width="11.09765625" customWidth="1"/>
    <x:col min="13808" max="13815" width="5.796875" customWidth="1"/>
    <x:col min="13816" max="13816" width="7.09765625" customWidth="1"/>
    <x:col min="13817" max="13818" width="5.796875" customWidth="1"/>
    <x:col min="13819" max="13819" width="6" customWidth="1"/>
    <x:col min="14059" max="14059" width="3.59765625" customWidth="1"/>
    <x:col min="14060" max="14062" width="5.796875" customWidth="1"/>
    <x:col min="14063" max="14063" width="11.09765625" customWidth="1"/>
    <x:col min="14064" max="14071" width="5.796875" customWidth="1"/>
    <x:col min="14072" max="14072" width="7.09765625" customWidth="1"/>
    <x:col min="14073" max="14074" width="5.796875" customWidth="1"/>
    <x:col min="14075" max="14075" width="6" customWidth="1"/>
    <x:col min="14315" max="14315" width="3.59765625" customWidth="1"/>
    <x:col min="14316" max="14318" width="5.796875" customWidth="1"/>
    <x:col min="14319" max="14319" width="11.09765625" customWidth="1"/>
    <x:col min="14320" max="14327" width="5.796875" customWidth="1"/>
    <x:col min="14328" max="14328" width="7.09765625" customWidth="1"/>
    <x:col min="14329" max="14330" width="5.796875" customWidth="1"/>
    <x:col min="14331" max="14331" width="6" customWidth="1"/>
    <x:col min="14571" max="14571" width="3.59765625" customWidth="1"/>
    <x:col min="14572" max="14574" width="5.796875" customWidth="1"/>
    <x:col min="14575" max="14575" width="11.09765625" customWidth="1"/>
    <x:col min="14576" max="14583" width="5.796875" customWidth="1"/>
    <x:col min="14584" max="14584" width="7.09765625" customWidth="1"/>
    <x:col min="14585" max="14586" width="5.796875" customWidth="1"/>
    <x:col min="14587" max="14587" width="6" customWidth="1"/>
    <x:col min="14827" max="14827" width="3.59765625" customWidth="1"/>
    <x:col min="14828" max="14830" width="5.796875" customWidth="1"/>
    <x:col min="14831" max="14831" width="11.09765625" customWidth="1"/>
    <x:col min="14832" max="14839" width="5.796875" customWidth="1"/>
    <x:col min="14840" max="14840" width="7.09765625" customWidth="1"/>
    <x:col min="14841" max="14842" width="5.796875" customWidth="1"/>
    <x:col min="14843" max="14843" width="6" customWidth="1"/>
    <x:col min="15083" max="15083" width="3.59765625" customWidth="1"/>
    <x:col min="15084" max="15086" width="5.796875" customWidth="1"/>
    <x:col min="15087" max="15087" width="11.09765625" customWidth="1"/>
    <x:col min="15088" max="15095" width="5.796875" customWidth="1"/>
    <x:col min="15096" max="15096" width="7.09765625" customWidth="1"/>
    <x:col min="15097" max="15098" width="5.796875" customWidth="1"/>
    <x:col min="15099" max="15099" width="6" customWidth="1"/>
    <x:col min="15339" max="15339" width="3.59765625" customWidth="1"/>
    <x:col min="15340" max="15342" width="5.796875" customWidth="1"/>
    <x:col min="15343" max="15343" width="11.09765625" customWidth="1"/>
    <x:col min="15344" max="15351" width="5.796875" customWidth="1"/>
    <x:col min="15352" max="15352" width="7.09765625" customWidth="1"/>
    <x:col min="15353" max="15354" width="5.796875" customWidth="1"/>
    <x:col min="15355" max="15355" width="6" customWidth="1"/>
    <x:col min="15595" max="15595" width="3.59765625" customWidth="1"/>
    <x:col min="15596" max="15598" width="5.796875" customWidth="1"/>
    <x:col min="15599" max="15599" width="11.09765625" customWidth="1"/>
    <x:col min="15600" max="15607" width="5.796875" customWidth="1"/>
    <x:col min="15608" max="15608" width="7.09765625" customWidth="1"/>
    <x:col min="15609" max="15610" width="5.796875" customWidth="1"/>
    <x:col min="15611" max="15611" width="6" customWidth="1"/>
    <x:col min="15851" max="15851" width="3.59765625" customWidth="1"/>
    <x:col min="15852" max="15854" width="5.796875" customWidth="1"/>
    <x:col min="15855" max="15855" width="11.09765625" customWidth="1"/>
    <x:col min="15856" max="15863" width="5.796875" customWidth="1"/>
    <x:col min="15864" max="15864" width="7.09765625" customWidth="1"/>
    <x:col min="15865" max="15866" width="5.796875" customWidth="1"/>
    <x:col min="15867" max="15867" width="6" customWidth="1"/>
    <x:col min="16107" max="16107" width="3.59765625" customWidth="1"/>
    <x:col min="16108" max="16110" width="5.796875" customWidth="1"/>
    <x:col min="16111" max="16111" width="11.09765625" customWidth="1"/>
    <x:col min="16112" max="16119" width="5.796875" customWidth="1"/>
    <x:col min="16120" max="16120" width="7.09765625" customWidth="1"/>
    <x:col min="16121" max="16122" width="5.796875" customWidth="1"/>
    <x:col min="16123" max="16123" width="6" customWidth="1"/>
  </x:cols>
  <x:sheetData>
    <x:row r="1" spans="1:16" ht="47.25" customHeight="1">
      <x:c r="A1" s="250" t="s">
        <x:v>19</x:v>
      </x:c>
      <x:c r="B1" s="250"/>
      <x:c r="C1" s="250"/>
      <x:c r="D1" s="250"/>
      <x:c r="E1" s="250"/>
      <x:c r="F1" s="250"/>
      <x:c r="G1" s="250"/>
      <x:c r="H1" s="250"/>
      <x:c r="I1" s="250"/>
      <x:c r="J1" s="250"/>
      <x:c r="K1" s="250"/>
      <x:c r="L1" s="250"/>
      <x:c r="M1" s="250"/>
      <x:c r="N1" s="250"/>
      <x:c r="O1" s="250"/>
      <x:c r="P1" s="250"/>
    </x:row>
    <x:row r="2" spans="1:16" ht="29.25" customHeight="1">
      <x:c r="A2" s="251" t="s">
        <x:v>0</x:v>
      </x:c>
      <x:c r="B2" s="251"/>
      <x:c r="C2" s="251"/>
      <x:c r="D2" s="251"/>
      <x:c r="E2" s="38"/>
      <x:c r="F2" s="39"/>
      <x:c r="G2" s="40"/>
      <x:c r="H2" s="40"/>
      <x:c r="I2" s="40"/>
      <x:c r="J2" s="40"/>
      <x:c r="K2" s="252"/>
      <x:c r="L2" s="252"/>
      <x:c r="M2" s="253"/>
      <x:c r="N2" s="253"/>
      <x:c r="O2" s="253"/>
      <x:c r="P2" s="253"/>
    </x:row>
    <x:row r="3" spans="1:16" ht="16.5" customHeight="1">
      <x:c r="A3" s="254" t="s">
        <x:v>227</x:v>
      </x:c>
      <x:c r="B3" s="257" t="s">
        <x:v>37</x:v>
      </x:c>
      <x:c r="C3" s="260" t="s">
        <x:v>137</x:v>
      </x:c>
      <x:c r="D3" s="260" t="s">
        <x:v>256</x:v>
      </x:c>
      <x:c r="E3" s="260" t="s">
        <x:v>119</x:v>
      </x:c>
      <x:c r="F3" s="260" t="s">
        <x:v>31</x:v>
      </x:c>
      <x:c r="G3" s="263" t="s">
        <x:v>253</x:v>
      </x:c>
      <x:c r="H3" s="264"/>
      <x:c r="I3" s="263" t="s">
        <x:v>226</x:v>
      </x:c>
      <x:c r="J3" s="264"/>
      <x:c r="K3" s="263" t="s">
        <x:v>218</x:v>
      </x:c>
      <x:c r="L3" s="264"/>
      <x:c r="M3" s="260" t="s">
        <x:v>228</x:v>
      </x:c>
      <x:c r="N3" s="265" t="s">
        <x:v>198</x:v>
      </x:c>
      <x:c r="O3" s="260" t="s">
        <x:v>30</x:v>
      </x:c>
      <x:c r="P3" s="268" t="s">
        <x:v>192</x:v>
      </x:c>
    </x:row>
    <x:row r="4" spans="1:16" ht="14.40000000000000035527" customHeight="1">
      <x:c r="A4" s="255"/>
      <x:c r="B4" s="258"/>
      <x:c r="C4" s="261"/>
      <x:c r="D4" s="261"/>
      <x:c r="E4" s="261"/>
      <x:c r="F4" s="261"/>
      <x:c r="G4" s="271" t="s">
        <x:v>216</x:v>
      </x:c>
      <x:c r="H4" s="273" t="s">
        <x:v>249</x:v>
      </x:c>
      <x:c r="I4" s="271" t="s">
        <x:v>216</x:v>
      </x:c>
      <x:c r="J4" s="273" t="s">
        <x:v>249</x:v>
      </x:c>
      <x:c r="K4" s="271" t="s">
        <x:v>216</x:v>
      </x:c>
      <x:c r="L4" s="273" t="s">
        <x:v>249</x:v>
      </x:c>
      <x:c r="M4" s="261"/>
      <x:c r="N4" s="266"/>
      <x:c r="O4" s="261"/>
      <x:c r="P4" s="269"/>
    </x:row>
    <x:row r="5" spans="1:16" ht="14.40000000000000035527" customHeight="1">
      <x:c r="A5" s="256"/>
      <x:c r="B5" s="259"/>
      <x:c r="C5" s="262"/>
      <x:c r="D5" s="262"/>
      <x:c r="E5" s="262"/>
      <x:c r="F5" s="262"/>
      <x:c r="G5" s="272"/>
      <x:c r="H5" s="274"/>
      <x:c r="I5" s="272"/>
      <x:c r="J5" s="274"/>
      <x:c r="K5" s="272"/>
      <x:c r="L5" s="274"/>
      <x:c r="M5" s="262"/>
      <x:c r="N5" s="267"/>
      <x:c r="O5" s="262"/>
      <x:c r="P5" s="270"/>
    </x:row>
    <x:row r="6" spans="1:16" ht="14.40000000000000035527" hidden="1" customHeight="1">
      <x:c r="A6" s="41"/>
      <x:c r="B6" s="42"/>
      <x:c r="C6" s="43"/>
      <x:c r="D6" s="44"/>
      <x:c r="E6" s="45"/>
      <x:c r="F6" s="45"/>
      <x:c r="G6" s="46"/>
      <x:c r="H6" s="47"/>
      <x:c r="I6" s="48"/>
      <x:c r="J6" s="47"/>
      <x:c r="K6" s="48"/>
      <x:c r="L6" s="49"/>
      <x:c r="M6" s="50"/>
      <x:c r="N6" s="51"/>
      <x:c r="O6" s="52"/>
      <x:c r="P6" s="53"/>
    </x:row>
    <x:row r="7" spans="1:16" ht="15.59999999999999964473" customHeight="1">
      <x:c r="A7" s="275" t="s">
        <x:v>25</x:v>
      </x:c>
      <x:c r="B7" s="278" t="s">
        <x:v>214</x:v>
      </x:c>
      <x:c r="C7" s="2" t="s">
        <x:v>230</x:v>
      </x:c>
      <x:c r="D7" s="54" t="s">
        <x:v>21</x:v>
      </x:c>
      <x:c r="E7" s="55">
        <x:f t="shared" ref="E7:E41" si="0">IFERROR(VLOOKUP(D7,기본학점,2,FALSE),"")</x:f>
        <x:v>4</x:v>
      </x:c>
      <x:c r="F7" s="56">
        <x:v>4</x:v>
      </x:c>
      <x:c r="G7" s="57">
        <x:v>4</x:v>
      </x:c>
      <x:c r="H7" s="58"/>
      <x:c r="I7" s="59"/>
      <x:c r="J7" s="58"/>
      <x:c r="K7" s="59"/>
      <x:c r="L7" s="60"/>
      <x:c r="M7" s="26"/>
      <x:c r="N7" s="23"/>
      <x:c r="O7" s="281">
        <x:f>SUM(F7:F12)</x:f>
        <x:v>24</x:v>
      </x:c>
      <x:c r="P7" s="284">
        <x:v>8</x:v>
      </x:c>
    </x:row>
    <x:row r="8" spans="1:16" ht="15.59999999999999964473" customHeight="1">
      <x:c r="A8" s="276"/>
      <x:c r="B8" s="279"/>
      <x:c r="C8" s="61" t="s">
        <x:v>230</x:v>
      </x:c>
      <x:c r="D8" s="62" t="s">
        <x:v>27</x:v>
      </x:c>
      <x:c r="E8" s="63">
        <x:f>IFERROR(VLOOKUP(D8,기본학점,2,FALSE),"")</x:f>
        <x:v>4</x:v>
      </x:c>
      <x:c r="F8" s="56">
        <x:v>4</x:v>
      </x:c>
      <x:c r="G8" s="64"/>
      <x:c r="H8" s="65">
        <x:v>4</x:v>
      </x:c>
      <x:c r="I8" s="66"/>
      <x:c r="J8" s="65"/>
      <x:c r="K8" s="66"/>
      <x:c r="L8" s="67"/>
      <x:c r="M8" s="28"/>
      <x:c r="N8" s="23"/>
      <x:c r="O8" s="282"/>
      <x:c r="P8" s="285"/>
    </x:row>
    <x:row r="9" spans="1:16" ht="15.59999999999999964473" customHeight="1">
      <x:c r="A9" s="276"/>
      <x:c r="B9" s="279"/>
      <x:c r="C9" s="68" t="s">
        <x:v>248</x:v>
      </x:c>
      <x:c r="D9" s="62" t="s">
        <x:v>236</x:v>
      </x:c>
      <x:c r="E9" s="63">
        <x:f>IFERROR(VLOOKUP(D9,기본학점,2,FALSE),"")</x:f>
        <x:v>4</x:v>
      </x:c>
      <x:c r="F9" s="56">
        <x:v>4</x:v>
      </x:c>
      <x:c r="G9" s="57"/>
      <x:c r="H9" s="69"/>
      <x:c r="I9" s="70">
        <x:v>4</x:v>
      </x:c>
      <x:c r="J9" s="69"/>
      <x:c r="K9" s="70"/>
      <x:c r="L9" s="60"/>
      <x:c r="M9" s="28"/>
      <x:c r="N9" s="23"/>
      <x:c r="O9" s="282"/>
      <x:c r="P9" s="285"/>
    </x:row>
    <x:row r="10" spans="1:16" ht="15.59999999999999964473" customHeight="1">
      <x:c r="A10" s="276"/>
      <x:c r="B10" s="279"/>
      <x:c r="C10" s="68" t="s">
        <x:v>248</x:v>
      </x:c>
      <x:c r="D10" s="62" t="s">
        <x:v>54</x:v>
      </x:c>
      <x:c r="E10" s="63">
        <x:f>IFERROR(VLOOKUP(D10,기본학점,2,FALSE),"")</x:f>
        <x:v>4</x:v>
      </x:c>
      <x:c r="F10" s="56">
        <x:v>4</x:v>
      </x:c>
      <x:c r="G10" s="57"/>
      <x:c r="H10" s="69"/>
      <x:c r="I10" s="70"/>
      <x:c r="J10" s="69">
        <x:v>4</x:v>
      </x:c>
      <x:c r="K10" s="70"/>
      <x:c r="L10" s="60"/>
      <x:c r="M10" s="28"/>
      <x:c r="N10" s="23"/>
      <x:c r="O10" s="282"/>
      <x:c r="P10" s="285"/>
    </x:row>
    <x:row r="11" spans="1:16" ht="15.59999999999999964473" customHeight="1">
      <x:c r="A11" s="276"/>
      <x:c r="B11" s="279"/>
      <x:c r="C11" s="68" t="s">
        <x:v>248</x:v>
      </x:c>
      <x:c r="D11" s="62" t="s">
        <x:v>44</x:v>
      </x:c>
      <x:c r="E11" s="63">
        <x:f t="shared" si="0"/>
        <x:v>4</x:v>
      </x:c>
      <x:c r="F11" s="56">
        <x:v>4</x:v>
      </x:c>
      <x:c r="G11" s="57"/>
      <x:c r="H11" s="69"/>
      <x:c r="I11" s="70"/>
      <x:c r="J11" s="69"/>
      <x:c r="K11" s="70">
        <x:v>4</x:v>
      </x:c>
      <x:c r="L11" s="60"/>
      <x:c r="M11" s="28"/>
      <x:c r="N11" s="23"/>
      <x:c r="O11" s="282"/>
      <x:c r="P11" s="285"/>
    </x:row>
    <x:row r="12" spans="1:16" ht="15.59999999999999964473" customHeight="1">
      <x:c r="A12" s="276"/>
      <x:c r="B12" s="280"/>
      <x:c r="C12" s="68" t="s">
        <x:v>247</x:v>
      </x:c>
      <x:c r="D12" s="62" t="s">
        <x:v>178</x:v>
      </x:c>
      <x:c r="E12" s="71">
        <x:f t="shared" si="0"/>
        <x:v>4</x:v>
      </x:c>
      <x:c r="F12" s="56">
        <x:v>4</x:v>
      </x:c>
      <x:c r="G12" s="57"/>
      <x:c r="H12" s="69"/>
      <x:c r="I12" s="70"/>
      <x:c r="J12" s="69" t="s">
        <x:v>217</x:v>
      </x:c>
      <x:c r="K12" s="70"/>
      <x:c r="L12" s="60">
        <x:v>4</x:v>
      </x:c>
      <x:c r="M12" s="26"/>
      <x:c r="N12" s="24"/>
      <x:c r="O12" s="283"/>
      <x:c r="P12" s="286"/>
    </x:row>
    <x:row r="13" spans="1:16" ht="15.59999999999999964473" customHeight="1">
      <x:c r="A13" s="276"/>
      <x:c r="B13" s="287" t="s">
        <x:v>240</x:v>
      </x:c>
      <x:c r="C13" s="2" t="s">
        <x:v>230</x:v>
      </x:c>
      <x:c r="D13" s="72" t="s">
        <x:v>66</x:v>
      </x:c>
      <x:c r="E13" s="73">
        <x:f t="shared" si="0"/>
        <x:v>4</x:v>
      </x:c>
      <x:c r="F13" s="74">
        <x:v>4</x:v>
      </x:c>
      <x:c r="G13" s="75">
        <x:v>4</x:v>
      </x:c>
      <x:c r="H13" s="76"/>
      <x:c r="I13" s="77"/>
      <x:c r="J13" s="76"/>
      <x:c r="K13" s="77"/>
      <x:c r="L13" s="78"/>
      <x:c r="M13" s="31"/>
      <x:c r="N13" s="25"/>
      <x:c r="O13" s="288">
        <x:f>SUM(F13:F18)</x:f>
        <x:v>24</x:v>
      </x:c>
      <x:c r="P13" s="290">
        <x:v>8</x:v>
      </x:c>
    </x:row>
    <x:row r="14" spans="1:16" ht="15.59999999999999964473" customHeight="1">
      <x:c r="A14" s="276"/>
      <x:c r="B14" s="279"/>
      <x:c r="C14" s="1" t="s">
        <x:v>230</x:v>
      </x:c>
      <x:c r="D14" s="62" t="s">
        <x:v>38</x:v>
      </x:c>
      <x:c r="E14" s="63">
        <x:f t="shared" si="0"/>
        <x:v>4</x:v>
      </x:c>
      <x:c r="F14" s="79">
        <x:v>4</x:v>
      </x:c>
      <x:c r="G14" s="64"/>
      <x:c r="H14" s="65">
        <x:v>4</x:v>
      </x:c>
      <x:c r="I14" s="66"/>
      <x:c r="J14" s="65"/>
      <x:c r="K14" s="66"/>
      <x:c r="L14" s="67"/>
      <x:c r="M14" s="28"/>
      <x:c r="N14" s="23"/>
      <x:c r="O14" s="288"/>
      <x:c r="P14" s="285"/>
    </x:row>
    <x:row r="15" spans="1:16" ht="15.59999999999999964473" customHeight="1">
      <x:c r="A15" s="276"/>
      <x:c r="B15" s="279"/>
      <x:c r="C15" s="1" t="s">
        <x:v>248</x:v>
      </x:c>
      <x:c r="D15" s="62" t="s">
        <x:v>220</x:v>
      </x:c>
      <x:c r="E15" s="63">
        <x:f>IFERROR(VLOOKUP(D15,기본학점,2,FALSE),"")</x:f>
        <x:v>4</x:v>
      </x:c>
      <x:c r="F15" s="79">
        <x:v>4</x:v>
      </x:c>
      <x:c r="G15" s="64"/>
      <x:c r="H15" s="65"/>
      <x:c r="I15" s="66">
        <x:v>4</x:v>
      </x:c>
      <x:c r="J15" s="65"/>
      <x:c r="K15" s="66"/>
      <x:c r="L15" s="67"/>
      <x:c r="M15" s="28"/>
      <x:c r="N15" s="23"/>
      <x:c r="O15" s="288"/>
      <x:c r="P15" s="285"/>
    </x:row>
    <x:row r="16" spans="1:16" ht="15.59999999999999964473" customHeight="1">
      <x:c r="A16" s="276"/>
      <x:c r="B16" s="279"/>
      <x:c r="C16" s="1" t="s">
        <x:v>248</x:v>
      </x:c>
      <x:c r="D16" s="62" t="s">
        <x:v>23</x:v>
      </x:c>
      <x:c r="E16" s="63">
        <x:f>IFERROR(VLOOKUP(D16,기본학점,2,FALSE),"")</x:f>
        <x:v>4</x:v>
      </x:c>
      <x:c r="F16" s="79">
        <x:v>4</x:v>
      </x:c>
      <x:c r="G16" s="64"/>
      <x:c r="H16" s="65"/>
      <x:c r="I16" s="66"/>
      <x:c r="J16" s="65">
        <x:v>4</x:v>
      </x:c>
      <x:c r="K16" s="66"/>
      <x:c r="L16" s="67"/>
      <x:c r="M16" s="28"/>
      <x:c r="N16" s="23"/>
      <x:c r="O16" s="288"/>
      <x:c r="P16" s="285"/>
    </x:row>
    <x:row r="17" spans="1:16" ht="15.59999999999999964473" customHeight="1">
      <x:c r="A17" s="276"/>
      <x:c r="B17" s="279"/>
      <x:c r="C17" s="5" t="s">
        <x:v>248</x:v>
      </x:c>
      <x:c r="D17" s="62" t="s">
        <x:v>29</x:v>
      </x:c>
      <x:c r="E17" s="63">
        <x:f t="shared" si="0"/>
        <x:v>4</x:v>
      </x:c>
      <x:c r="F17" s="80">
        <x:v>4</x:v>
      </x:c>
      <x:c r="G17" s="81"/>
      <x:c r="H17" s="82"/>
      <x:c r="I17" s="83"/>
      <x:c r="J17" s="82"/>
      <x:c r="K17" s="83">
        <x:v>4</x:v>
      </x:c>
      <x:c r="L17" s="84"/>
      <x:c r="M17" s="28"/>
      <x:c r="N17" s="23"/>
      <x:c r="O17" s="288"/>
      <x:c r="P17" s="285"/>
    </x:row>
    <x:row r="18" spans="1:16" ht="15.59999999999999964473" customHeight="1">
      <x:c r="A18" s="276"/>
      <x:c r="B18" s="280"/>
      <x:c r="C18" s="3" t="s">
        <x:v>221</x:v>
      </x:c>
      <x:c r="D18" s="85" t="s">
        <x:v>43</x:v>
      </x:c>
      <x:c r="E18" s="71">
        <x:f t="shared" si="0"/>
        <x:v>4</x:v>
      </x:c>
      <x:c r="F18" s="86">
        <x:v>4</x:v>
      </x:c>
      <x:c r="G18" s="87"/>
      <x:c r="H18" s="88"/>
      <x:c r="I18" s="89"/>
      <x:c r="J18" s="88" t="s">
        <x:v>217</x:v>
      </x:c>
      <x:c r="K18" s="89"/>
      <x:c r="L18" s="90">
        <x:v>4</x:v>
      </x:c>
      <x:c r="M18" s="29"/>
      <x:c r="N18" s="3"/>
      <x:c r="O18" s="289"/>
      <x:c r="P18" s="285"/>
    </x:row>
    <x:row r="19" spans="1:16" ht="15.59999999999999964473" customHeight="1">
      <x:c r="A19" s="276"/>
      <x:c r="B19" s="287" t="s">
        <x:v>252</x:v>
      </x:c>
      <x:c r="C19" s="68" t="s">
        <x:v>230</x:v>
      </x:c>
      <x:c r="D19" s="72" t="s">
        <x:v>55</x:v>
      </x:c>
      <x:c r="E19" s="73">
        <x:f t="shared" si="0"/>
        <x:v>4</x:v>
      </x:c>
      <x:c r="F19" s="91">
        <x:v>4</x:v>
      </x:c>
      <x:c r="G19" s="70">
        <x:v>4</x:v>
      </x:c>
      <x:c r="H19" s="69"/>
      <x:c r="I19" s="70"/>
      <x:c r="J19" s="69"/>
      <x:c r="K19" s="70"/>
      <x:c r="L19" s="69"/>
      <x:c r="M19" s="31"/>
      <x:c r="N19" s="25"/>
      <x:c r="O19" s="291">
        <x:f>SUM(F19:F24)</x:f>
        <x:v>22</x:v>
      </x:c>
      <x:c r="P19" s="290">
        <x:v>8</x:v>
      </x:c>
    </x:row>
    <x:row r="20" spans="1:16" ht="15.59999999999999964473" customHeight="1">
      <x:c r="A20" s="276"/>
      <x:c r="B20" s="279"/>
      <x:c r="C20" s="1" t="s">
        <x:v>230</x:v>
      </x:c>
      <x:c r="D20" s="62" t="s">
        <x:v>26</x:v>
      </x:c>
      <x:c r="E20" s="63">
        <x:f>IFERROR(VLOOKUP(D20,기본학점,2,FALSE),"")</x:f>
        <x:v>4</x:v>
      </x:c>
      <x:c r="F20" s="64">
        <x:v>4</x:v>
      </x:c>
      <x:c r="G20" s="66"/>
      <x:c r="H20" s="65">
        <x:v>4</x:v>
      </x:c>
      <x:c r="I20" s="66"/>
      <x:c r="J20" s="65"/>
      <x:c r="K20" s="66"/>
      <x:c r="L20" s="65"/>
      <x:c r="M20" s="28"/>
      <x:c r="N20" s="23"/>
      <x:c r="O20" s="288"/>
      <x:c r="P20" s="285"/>
    </x:row>
    <x:row r="21" spans="1:16" ht="15.59999999999999964473" customHeight="1">
      <x:c r="A21" s="276"/>
      <x:c r="B21" s="279"/>
      <x:c r="C21" s="1" t="s">
        <x:v>248</x:v>
      </x:c>
      <x:c r="D21" s="62" t="s">
        <x:v>237</x:v>
      </x:c>
      <x:c r="E21" s="63">
        <x:f>IFERROR(VLOOKUP(D21,기본학점,2,FALSE),"")</x:f>
        <x:v>4</x:v>
      </x:c>
      <x:c r="F21" s="64">
        <x:v>3</x:v>
      </x:c>
      <x:c r="G21" s="66"/>
      <x:c r="H21" s="65"/>
      <x:c r="I21" s="66">
        <x:v>3</x:v>
      </x:c>
      <x:c r="J21" s="65"/>
      <x:c r="K21" s="66"/>
      <x:c r="L21" s="65"/>
      <x:c r="M21" s="28"/>
      <x:c r="N21" s="23"/>
      <x:c r="O21" s="288"/>
      <x:c r="P21" s="285"/>
    </x:row>
    <x:row r="22" spans="1:16" ht="15.59999999999999964473" customHeight="1">
      <x:c r="A22" s="276"/>
      <x:c r="B22" s="279"/>
      <x:c r="C22" s="1" t="s">
        <x:v>248</x:v>
      </x:c>
      <x:c r="D22" s="62" t="s">
        <x:v>232</x:v>
      </x:c>
      <x:c r="E22" s="63">
        <x:f>IFERROR(VLOOKUP(D22,기본학점,2,FALSE),"")</x:f>
        <x:v>4</x:v>
      </x:c>
      <x:c r="F22" s="64">
        <x:v>3</x:v>
      </x:c>
      <x:c r="G22" s="66"/>
      <x:c r="H22" s="65"/>
      <x:c r="I22" s="66"/>
      <x:c r="J22" s="65">
        <x:v>3</x:v>
      </x:c>
      <x:c r="K22" s="66"/>
      <x:c r="L22" s="65"/>
      <x:c r="M22" s="28"/>
      <x:c r="N22" s="23"/>
      <x:c r="O22" s="288"/>
      <x:c r="P22" s="285"/>
    </x:row>
    <x:row r="23" spans="1:16" ht="15.59999999999999964473" customHeight="1">
      <x:c r="A23" s="276"/>
      <x:c r="B23" s="279"/>
      <x:c r="C23" s="5" t="s">
        <x:v>248</x:v>
      </x:c>
      <x:c r="D23" s="62" t="s">
        <x:v>180</x:v>
      </x:c>
      <x:c r="E23" s="63">
        <x:f t="shared" si="0"/>
        <x:v>4</x:v>
      </x:c>
      <x:c r="F23" s="81">
        <x:v>4</x:v>
      </x:c>
      <x:c r="G23" s="83"/>
      <x:c r="H23" s="82"/>
      <x:c r="I23" s="83" t="s">
        <x:v>217</x:v>
      </x:c>
      <x:c r="J23" s="82"/>
      <x:c r="K23" s="83">
        <x:v>4</x:v>
      </x:c>
      <x:c r="L23" s="82"/>
      <x:c r="M23" s="28"/>
      <x:c r="N23" s="23"/>
      <x:c r="O23" s="288"/>
      <x:c r="P23" s="285"/>
    </x:row>
    <x:row r="24" spans="1:16" ht="15.59999999999999964473" customHeight="1">
      <x:c r="A24" s="276"/>
      <x:c r="B24" s="280"/>
      <x:c r="C24" s="4" t="s">
        <x:v>247</x:v>
      </x:c>
      <x:c r="D24" s="29" t="s">
        <x:v>10</x:v>
      </x:c>
      <x:c r="E24" s="71">
        <x:f t="shared" si="0"/>
        <x:v>4</x:v>
      </x:c>
      <x:c r="F24" s="92">
        <x:v>4</x:v>
      </x:c>
      <x:c r="G24" s="93"/>
      <x:c r="H24" s="94"/>
      <x:c r="I24" s="93"/>
      <x:c r="J24" s="94" t="s">
        <x:v>217</x:v>
      </x:c>
      <x:c r="K24" s="93"/>
      <x:c r="L24" s="94">
        <x:v>4</x:v>
      </x:c>
      <x:c r="M24" s="29"/>
      <x:c r="N24" s="3"/>
      <x:c r="O24" s="288"/>
      <x:c r="P24" s="286"/>
    </x:row>
    <x:row r="25" spans="1:16" ht="15.59999999999999964473" customHeight="1">
      <x:c r="A25" s="276"/>
      <x:c r="B25" s="287" t="s">
        <x:v>11</x:v>
      </x:c>
      <x:c r="C25" s="2" t="s">
        <x:v>230</x:v>
      </x:c>
      <x:c r="D25" s="72" t="s">
        <x:v>81</x:v>
      </x:c>
      <x:c r="E25" s="73">
        <x:f t="shared" si="0"/>
        <x:v>3</x:v>
      </x:c>
      <x:c r="F25" s="75">
        <x:v>3</x:v>
      </x:c>
      <x:c r="G25" s="77">
        <x:v>3</x:v>
      </x:c>
      <x:c r="H25" s="76"/>
      <x:c r="I25" s="77"/>
      <x:c r="J25" s="76"/>
      <x:c r="K25" s="77"/>
      <x:c r="L25" s="78"/>
      <x:c r="M25" s="31"/>
      <x:c r="N25" s="25"/>
      <x:c r="O25" s="291">
        <x:f>SUM(F25:F26)</x:f>
        <x:v>6</x:v>
      </x:c>
      <x:c r="P25" s="290">
        <x:v>6</x:v>
      </x:c>
    </x:row>
    <x:row r="26" spans="1:16" ht="15.59999999999999964473" customHeight="1">
      <x:c r="A26" s="276"/>
      <x:c r="B26" s="279"/>
      <x:c r="C26" s="4" t="s">
        <x:v>230</x:v>
      </x:c>
      <x:c r="D26" s="85" t="s">
        <x:v>76</x:v>
      </x:c>
      <x:c r="E26" s="95">
        <x:f t="shared" si="0"/>
        <x:v>3</x:v>
      </x:c>
      <x:c r="F26" s="81">
        <x:v>3</x:v>
      </x:c>
      <x:c r="G26" s="83"/>
      <x:c r="H26" s="82">
        <x:v>3</x:v>
      </x:c>
      <x:c r="I26" s="89"/>
      <x:c r="J26" s="88"/>
      <x:c r="K26" s="89"/>
      <x:c r="L26" s="88"/>
      <x:c r="M26" s="85"/>
      <x:c r="N26" s="96"/>
      <x:c r="O26" s="289"/>
      <x:c r="P26" s="286"/>
    </x:row>
    <x:row r="27" spans="1:16" ht="15.59999999999999964473" customHeight="1">
      <x:c r="A27" s="276"/>
      <x:c r="B27" s="279"/>
      <x:c r="C27" s="2" t="s">
        <x:v>230</x:v>
      </x:c>
      <x:c r="D27" s="72" t="s">
        <x:v>77</x:v>
      </x:c>
      <x:c r="E27" s="73">
        <x:f t="shared" si="0"/>
        <x:v>4</x:v>
      </x:c>
      <x:c r="F27" s="97">
        <x:v>4</x:v>
      </x:c>
      <x:c r="G27" s="77">
        <x:v>4</x:v>
      </x:c>
      <x:c r="H27" s="76"/>
      <x:c r="I27" s="77"/>
      <x:c r="J27" s="76"/>
      <x:c r="K27" s="77"/>
      <x:c r="L27" s="78"/>
      <x:c r="M27" s="31"/>
      <x:c r="N27" s="2"/>
      <x:c r="O27" s="291">
        <x:f>SUM(F27:F28)</x:f>
        <x:v>8</x:v>
      </x:c>
      <x:c r="P27" s="290">
        <x:v>8</x:v>
      </x:c>
    </x:row>
    <x:row r="28" spans="1:16" ht="15.59999999999999964473" customHeight="1">
      <x:c r="A28" s="276"/>
      <x:c r="B28" s="280"/>
      <x:c r="C28" s="3" t="s">
        <x:v>230</x:v>
      </x:c>
      <x:c r="D28" s="85" t="s">
        <x:v>112</x:v>
      </x:c>
      <x:c r="E28" s="95">
        <x:f t="shared" si="0"/>
        <x:v>4</x:v>
      </x:c>
      <x:c r="F28" s="98">
        <x:v>4</x:v>
      </x:c>
      <x:c r="G28" s="99"/>
      <x:c r="H28" s="100">
        <x:v>4</x:v>
      </x:c>
      <x:c r="I28" s="89"/>
      <x:c r="J28" s="88"/>
      <x:c r="K28" s="89"/>
      <x:c r="L28" s="88"/>
      <x:c r="M28" s="85"/>
      <x:c r="N28" s="96"/>
      <x:c r="O28" s="289"/>
      <x:c r="P28" s="286"/>
    </x:row>
    <x:row r="29" spans="1:16" ht="15.59999999999999964473" customHeight="1">
      <x:c r="A29" s="276"/>
      <x:c r="B29" s="287" t="s">
        <x:v>225</x:v>
      </x:c>
      <x:c r="C29" s="2" t="s">
        <x:v>230</x:v>
      </x:c>
      <x:c r="D29" s="72" t="s">
        <x:v>97</x:v>
      </x:c>
      <x:c r="E29" s="73">
        <x:f t="shared" si="0"/>
        <x:v>4</x:v>
      </x:c>
      <x:c r="F29" s="74">
        <x:v>4</x:v>
      </x:c>
      <x:c r="G29" s="101">
        <x:v>4</x:v>
      </x:c>
      <x:c r="H29" s="102"/>
      <x:c r="I29" s="101"/>
      <x:c r="J29" s="102"/>
      <x:c r="K29" s="101"/>
      <x:c r="L29" s="102"/>
      <x:c r="M29" s="31"/>
      <x:c r="N29" s="2"/>
      <x:c r="O29" s="291">
        <x:f>SUM(F29:F32)</x:f>
        <x:v>10</x:v>
      </x:c>
      <x:c r="P29" s="290">
        <x:v>10</x:v>
      </x:c>
    </x:row>
    <x:row r="30" spans="1:16" ht="15.59999999999999964473" customHeight="1">
      <x:c r="A30" s="276"/>
      <x:c r="B30" s="279"/>
      <x:c r="C30" s="1" t="s">
        <x:v>230</x:v>
      </x:c>
      <x:c r="D30" s="62" t="s">
        <x:v>87</x:v>
      </x:c>
      <x:c r="E30" s="63">
        <x:f>IFERROR(VLOOKUP(D30,기본학점,2,FALSE),"")</x:f>
        <x:v>4</x:v>
      </x:c>
      <x:c r="F30" s="64">
        <x:v>4</x:v>
      </x:c>
      <x:c r="G30" s="103"/>
      <x:c r="H30" s="104">
        <x:v>4</x:v>
      </x:c>
      <x:c r="I30" s="103"/>
      <x:c r="J30" s="104"/>
      <x:c r="K30" s="103"/>
      <x:c r="L30" s="104"/>
      <x:c r="M30" s="28"/>
      <x:c r="N30" s="23"/>
      <x:c r="O30" s="288"/>
      <x:c r="P30" s="285"/>
    </x:row>
    <x:row r="31" spans="1:16" ht="15.59999999999999964473" customHeight="1">
      <x:c r="A31" s="276"/>
      <x:c r="B31" s="279"/>
      <x:c r="C31" s="5" t="s">
        <x:v>230</x:v>
      </x:c>
      <x:c r="D31" s="62" t="s">
        <x:v>94</x:v>
      </x:c>
      <x:c r="E31" s="63">
        <x:f>IFERROR(VLOOKUP(D31,기본학점,2,FALSE),"")</x:f>
        <x:v>1</x:v>
      </x:c>
      <x:c r="F31" s="64">
        <x:v>1</x:v>
      </x:c>
      <x:c r="G31" s="103">
        <x:v>1</x:v>
      </x:c>
      <x:c r="H31" s="104"/>
      <x:c r="I31" s="103"/>
      <x:c r="J31" s="104"/>
      <x:c r="K31" s="103"/>
      <x:c r="L31" s="104"/>
      <x:c r="M31" s="27"/>
      <x:c r="N31" s="23"/>
      <x:c r="O31" s="288"/>
      <x:c r="P31" s="285"/>
    </x:row>
    <x:row r="32" spans="1:16" ht="15.59999999999999964473" customHeight="1">
      <x:c r="A32" s="276"/>
      <x:c r="B32" s="280"/>
      <x:c r="C32" s="3" t="s">
        <x:v>230</x:v>
      </x:c>
      <x:c r="D32" s="85" t="s">
        <x:v>85</x:v>
      </x:c>
      <x:c r="E32" s="71">
        <x:f t="shared" si="0"/>
        <x:v>1</x:v>
      </x:c>
      <x:c r="F32" s="87">
        <x:v>1</x:v>
      </x:c>
      <x:c r="G32" s="89"/>
      <x:c r="H32" s="90">
        <x:v>1</x:v>
      </x:c>
      <x:c r="I32" s="89"/>
      <x:c r="J32" s="90"/>
      <x:c r="K32" s="89"/>
      <x:c r="L32" s="90"/>
      <x:c r="M32" s="30"/>
      <x:c r="N32" s="24"/>
      <x:c r="O32" s="289"/>
      <x:c r="P32" s="286"/>
    </x:row>
    <x:row r="33" spans="1:16" ht="15.59999999999999964473" customHeight="1">
      <x:c r="A33" s="276"/>
      <x:c r="B33" s="287" t="s">
        <x:v>235</x:v>
      </x:c>
      <x:c r="C33" s="2" t="s">
        <x:v>248</x:v>
      </x:c>
      <x:c r="D33" s="72" t="s">
        <x:v>251</x:v>
      </x:c>
      <x:c r="E33" s="73">
        <x:f t="shared" si="0"/>
        <x:v>3</x:v>
      </x:c>
      <x:c r="F33" s="91">
        <x:v>2</x:v>
      </x:c>
      <x:c r="G33" s="57">
        <x:v>2</x:v>
      </x:c>
      <x:c r="H33" s="69"/>
      <x:c r="I33" s="70"/>
      <x:c r="J33" s="69"/>
      <x:c r="K33" s="70"/>
      <x:c r="L33" s="60"/>
      <x:c r="M33" s="31"/>
      <x:c r="N33" s="2"/>
      <x:c r="O33" s="291">
        <x:f>SUM(F33:F38)</x:f>
        <x:v>10</x:v>
      </x:c>
      <x:c r="P33" s="290">
        <x:v>10</x:v>
      </x:c>
    </x:row>
    <x:row r="34" spans="1:16" ht="15.59999999999999964473" customHeight="1">
      <x:c r="A34" s="276"/>
      <x:c r="B34" s="279"/>
      <x:c r="C34" s="1" t="s">
        <x:v>248</x:v>
      </x:c>
      <x:c r="D34" s="62" t="s">
        <x:v>224</x:v>
      </x:c>
      <x:c r="E34" s="63">
        <x:f>IFERROR(VLOOKUP(D34,기본학점,2,FALSE),"")</x:f>
        <x:v>3</x:v>
      </x:c>
      <x:c r="F34" s="79">
        <x:v>2</x:v>
      </x:c>
      <x:c r="G34" s="64"/>
      <x:c r="H34" s="65">
        <x:v>2</x:v>
      </x:c>
      <x:c r="I34" s="66"/>
      <x:c r="J34" s="65"/>
      <x:c r="K34" s="66"/>
      <x:c r="L34" s="67"/>
      <x:c r="M34" s="28"/>
      <x:c r="N34" s="23"/>
      <x:c r="O34" s="288"/>
      <x:c r="P34" s="285"/>
    </x:row>
    <x:row r="35" spans="1:16" ht="15.59999999999999964473" customHeight="1">
      <x:c r="A35" s="276"/>
      <x:c r="B35" s="279"/>
      <x:c r="C35" s="1" t="s">
        <x:v>221</x:v>
      </x:c>
      <x:c r="D35" s="62" t="s">
        <x:v>208</x:v>
      </x:c>
      <x:c r="E35" s="63">
        <x:f t="shared" si="0"/>
        <x:v>3</x:v>
      </x:c>
      <x:c r="F35" s="79">
        <x:v>2</x:v>
      </x:c>
      <x:c r="G35" s="64"/>
      <x:c r="H35" s="65"/>
      <x:c r="I35" s="66">
        <x:v>2</x:v>
      </x:c>
      <x:c r="J35" s="65"/>
      <x:c r="K35" s="66"/>
      <x:c r="L35" s="67"/>
      <x:c r="M35" s="28"/>
      <x:c r="N35" s="23"/>
      <x:c r="O35" s="288"/>
      <x:c r="P35" s="285"/>
    </x:row>
    <x:row r="36" spans="1:16" ht="15.59999999999999964473" customHeight="1">
      <x:c r="A36" s="276"/>
      <x:c r="B36" s="279"/>
      <x:c r="C36" s="1" t="s">
        <x:v>221</x:v>
      </x:c>
      <x:c r="D36" s="62" t="s">
        <x:v>206</x:v>
      </x:c>
      <x:c r="E36" s="63">
        <x:f>IFERROR(VLOOKUP(D36,기본학점,2,FALSE),"")</x:f>
        <x:v>3</x:v>
      </x:c>
      <x:c r="F36" s="79">
        <x:v>2</x:v>
      </x:c>
      <x:c r="G36" s="64"/>
      <x:c r="H36" s="65"/>
      <x:c r="I36" s="66"/>
      <x:c r="J36" s="65">
        <x:v>2</x:v>
      </x:c>
      <x:c r="K36" s="66"/>
      <x:c r="L36" s="67"/>
      <x:c r="M36" s="28"/>
      <x:c r="N36" s="23"/>
      <x:c r="O36" s="288"/>
      <x:c r="P36" s="285"/>
    </x:row>
    <x:row r="37" spans="1:16" ht="15.59999999999999964473" customHeight="1">
      <x:c r="A37" s="276"/>
      <x:c r="B37" s="279"/>
      <x:c r="C37" s="5" t="s">
        <x:v>247</x:v>
      </x:c>
      <x:c r="D37" s="62" t="s">
        <x:v>95</x:v>
      </x:c>
      <x:c r="E37" s="63">
        <x:f>IFERROR(VLOOKUP(D37,기본학점,2,FALSE),"")</x:f>
        <x:v>2</x:v>
      </x:c>
      <x:c r="F37" s="80">
        <x:v>1</x:v>
      </x:c>
      <x:c r="G37" s="66"/>
      <x:c r="H37" s="82"/>
      <x:c r="I37" s="83"/>
      <x:c r="J37" s="82"/>
      <x:c r="K37" s="83">
        <x:v>1</x:v>
      </x:c>
      <x:c r="L37" s="84"/>
      <x:c r="M37" s="28"/>
      <x:c r="N37" s="23"/>
      <x:c r="O37" s="288"/>
      <x:c r="P37" s="285"/>
    </x:row>
    <x:row r="38" spans="1:16" ht="15.59999999999999964473" customHeight="1">
      <x:c r="A38" s="276"/>
      <x:c r="B38" s="280"/>
      <x:c r="C38" s="24" t="s">
        <x:v>247</x:v>
      </x:c>
      <x:c r="D38" s="30" t="s">
        <x:v>60</x:v>
      </x:c>
      <x:c r="E38" s="71">
        <x:f t="shared" si="0"/>
        <x:v>2</x:v>
      </x:c>
      <x:c r="F38" s="86">
        <x:v>1</x:v>
      </x:c>
      <x:c r="G38" s="105"/>
      <x:c r="H38" s="88" t="s">
        <x:v>217</x:v>
      </x:c>
      <x:c r="I38" s="89"/>
      <x:c r="J38" s="88"/>
      <x:c r="K38" s="89"/>
      <x:c r="L38" s="90">
        <x:v>1</x:v>
      </x:c>
      <x:c r="M38" s="30"/>
      <x:c r="N38" s="24"/>
      <x:c r="O38" s="289"/>
      <x:c r="P38" s="286"/>
    </x:row>
    <x:row r="39" spans="1:16" ht="15.59999999999999964473" customHeight="1">
      <x:c r="A39" s="276"/>
      <x:c r="B39" s="287" t="s">
        <x:v>231</x:v>
      </x:c>
      <x:c r="C39" s="2" t="s">
        <x:v>248</x:v>
      </x:c>
      <x:c r="D39" s="72" t="s">
        <x:v>241</x:v>
      </x:c>
      <x:c r="E39" s="73">
        <x:f t="shared" si="0"/>
        <x:v>3</x:v>
      </x:c>
      <x:c r="F39" s="74">
        <x:v>3</x:v>
      </x:c>
      <x:c r="G39" s="106">
        <x:v>3</x:v>
      </x:c>
      <x:c r="H39" s="76" t="s">
        <x:v>219</x:v>
      </x:c>
      <x:c r="I39" s="77"/>
      <x:c r="J39" s="76"/>
      <x:c r="K39" s="77"/>
      <x:c r="L39" s="78"/>
      <x:c r="M39" s="2"/>
      <x:c r="N39" s="2"/>
      <x:c r="O39" s="293">
        <x:f>SUM(F39:F40)</x:f>
        <x:v>6</x:v>
      </x:c>
      <x:c r="P39" s="290">
        <x:v>10</x:v>
      </x:c>
    </x:row>
    <x:row r="40" spans="1:16" ht="15.59999999999999964473" customHeight="1">
      <x:c r="A40" s="277"/>
      <x:c r="B40" s="292"/>
      <x:c r="C40" s="6" t="s">
        <x:v>248</x:v>
      </x:c>
      <x:c r="D40" s="107" t="s">
        <x:v>234</x:v>
      </x:c>
      <x:c r="E40" s="108">
        <x:f t="shared" si="0"/>
        <x:v>3</x:v>
      </x:c>
      <x:c r="F40" s="109">
        <x:v>3</x:v>
      </x:c>
      <x:c r="G40" s="110" t="s">
        <x:v>219</x:v>
      </x:c>
      <x:c r="H40" s="111">
        <x:v>3</x:v>
      </x:c>
      <x:c r="I40" s="112"/>
      <x:c r="J40" s="113"/>
      <x:c r="K40" s="112"/>
      <x:c r="L40" s="114"/>
      <x:c r="M40" s="35"/>
      <x:c r="N40" s="115"/>
      <x:c r="O40" s="294"/>
      <x:c r="P40" s="295"/>
    </x:row>
    <x:row r="41" spans="1:16" ht="15.59999999999999964473" customHeight="1">
      <x:c r="A41" s="275" t="s">
        <x:v>125</x:v>
      </x:c>
      <x:c r="B41" s="116" t="s">
        <x:v>240</x:v>
      </x:c>
      <x:c r="C41" s="117" t="s">
        <x:v>247</x:v>
      </x:c>
      <x:c r="D41" s="118" t="s">
        <x:v>96</x:v>
      </x:c>
      <x:c r="E41" s="119">
        <x:f t="shared" si="0"/>
        <x:v>4</x:v>
      </x:c>
      <x:c r="F41" s="120">
        <x:v>4</x:v>
      </x:c>
      <x:c r="G41" s="121"/>
      <x:c r="H41" s="122"/>
      <x:c r="I41" s="296" t="s">
        <x:v>147</x:v>
      </x:c>
      <x:c r="J41" s="123"/>
      <x:c r="K41" s="124"/>
      <x:c r="L41" s="125"/>
      <x:c r="M41" s="126"/>
      <x:c r="N41" s="127"/>
      <x:c r="O41" s="281">
        <x:v>32</x:v>
      </x:c>
      <x:c r="P41" s="299"/>
    </x:row>
    <x:row r="42" spans="1:16" ht="15.59999999999999964473" customHeight="1">
      <x:c r="A42" s="276"/>
      <x:c r="B42" s="128" t="s">
        <x:v>252</x:v>
      </x:c>
      <x:c r="C42" s="68" t="s">
        <x:v>221</x:v>
      </x:c>
      <x:c r="D42" s="129" t="s">
        <x:v>179</x:v>
      </x:c>
      <x:c r="E42" s="130">
        <x:f>IFERROR(VLOOKUP(D42,기본학점,2,FALSE),"")</x:f>
        <x:v>4</x:v>
      </x:c>
      <x:c r="F42" s="131">
        <x:v>4</x:v>
      </x:c>
      <x:c r="G42" s="132"/>
      <x:c r="H42" s="133"/>
      <x:c r="I42" s="297"/>
      <x:c r="J42" s="134"/>
      <x:c r="K42" s="135"/>
      <x:c r="L42" s="60"/>
      <x:c r="M42" s="26"/>
      <x:c r="N42" s="136"/>
      <x:c r="O42" s="282"/>
      <x:c r="P42" s="300"/>
    </x:row>
    <x:row r="43" spans="1:16" ht="15.59999999999999964473" customHeight="1">
      <x:c r="A43" s="276"/>
      <x:c r="B43" s="287" t="s">
        <x:v>11</x:v>
      </x:c>
      <x:c r="C43" s="2" t="s">
        <x:v>248</x:v>
      </x:c>
      <x:c r="D43" s="72" t="s">
        <x:v>168</x:v>
      </x:c>
      <x:c r="E43" s="73">
        <x:f t="shared" ref="E43:E90" si="1">IFERROR(VLOOKUP(D43,기본학점,2,FALSE),"")</x:f>
        <x:v>4</x:v>
      </x:c>
      <x:c r="F43" s="74">
        <x:v>4</x:v>
      </x:c>
      <x:c r="G43" s="106"/>
      <x:c r="H43" s="137"/>
      <x:c r="I43" s="297"/>
      <x:c r="J43" s="73"/>
      <x:c r="K43" s="138"/>
      <x:c r="L43" s="73"/>
      <x:c r="M43" s="31"/>
      <x:c r="N43" s="25"/>
      <x:c r="O43" s="282"/>
      <x:c r="P43" s="300"/>
    </x:row>
    <x:row r="44" spans="1:16" ht="15.59999999999999964473" customHeight="1">
      <x:c r="A44" s="276"/>
      <x:c r="B44" s="279"/>
      <x:c r="C44" s="68" t="s">
        <x:v>248</x:v>
      </x:c>
      <x:c r="D44" s="129" t="s">
        <x:v>265</x:v>
      </x:c>
      <x:c r="E44" s="139">
        <x:f>IFERROR(VLOOKUP(D44,기본학점,2,FALSE),"")</x:f>
        <x:v>4</x:v>
      </x:c>
      <x:c r="F44" s="140">
        <x:v>4</x:v>
      </x:c>
      <x:c r="G44" s="132"/>
      <x:c r="H44" s="141"/>
      <x:c r="I44" s="297"/>
      <x:c r="J44" s="55"/>
      <x:c r="K44" s="142"/>
      <x:c r="L44" s="55"/>
      <x:c r="M44" s="26"/>
      <x:c r="N44" s="136"/>
      <x:c r="O44" s="282"/>
      <x:c r="P44" s="300"/>
    </x:row>
    <x:row r="45" spans="1:16" ht="15.59999999999999964473" customHeight="1">
      <x:c r="A45" s="276"/>
      <x:c r="B45" s="279"/>
      <x:c r="C45" s="68" t="s">
        <x:v>247</x:v>
      </x:c>
      <x:c r="D45" s="62" t="s">
        <x:v>213</x:v>
      </x:c>
      <x:c r="E45" s="140">
        <x:f>IFERROR(VLOOKUP(D45,기본학점,2,FALSE),"")</x:f>
        <x:v>4</x:v>
      </x:c>
      <x:c r="F45" s="91">
        <x:v>4</x:v>
      </x:c>
      <x:c r="G45" s="143"/>
      <x:c r="H45" s="144"/>
      <x:c r="I45" s="297"/>
      <x:c r="J45" s="63"/>
      <x:c r="K45" s="145"/>
      <x:c r="L45" s="63"/>
      <x:c r="M45" s="28"/>
      <x:c r="N45" s="23"/>
      <x:c r="O45" s="282"/>
      <x:c r="P45" s="300"/>
    </x:row>
    <x:row r="46" spans="1:16" ht="15.59999999999999964473" customHeight="1">
      <x:c r="A46" s="276"/>
      <x:c r="B46" s="279"/>
      <x:c r="C46" s="68" t="s">
        <x:v>247</x:v>
      </x:c>
      <x:c r="D46" s="62" t="s">
        <x:v>259</x:v>
      </x:c>
      <x:c r="E46" s="63">
        <x:f t="shared" si="1"/>
        <x:v>4</x:v>
      </x:c>
      <x:c r="F46" s="91">
        <x:v>4</x:v>
      </x:c>
      <x:c r="G46" s="143"/>
      <x:c r="H46" s="144"/>
      <x:c r="I46" s="297"/>
      <x:c r="J46" s="63"/>
      <x:c r="K46" s="145"/>
      <x:c r="L46" s="63"/>
      <x:c r="M46" s="28"/>
      <x:c r="N46" s="23"/>
      <x:c r="O46" s="282"/>
      <x:c r="P46" s="300"/>
    </x:row>
    <x:row r="47" spans="1:16" ht="15.59999999999999964473" customHeight="1">
      <x:c r="A47" s="276"/>
      <x:c r="B47" s="280"/>
      <x:c r="C47" s="3" t="s">
        <x:v>247</x:v>
      </x:c>
      <x:c r="D47" s="85" t="s">
        <x:v>48</x:v>
      </x:c>
      <x:c r="E47" s="71">
        <x:f t="shared" si="1"/>
        <x:v>4</x:v>
      </x:c>
      <x:c r="F47" s="86">
        <x:v>4</x:v>
      </x:c>
      <x:c r="G47" s="146"/>
      <x:c r="H47" s="147"/>
      <x:c r="I47" s="297"/>
      <x:c r="J47" s="95"/>
      <x:c r="K47" s="142"/>
      <x:c r="L47" s="95"/>
      <x:c r="M47" s="29"/>
      <x:c r="N47" s="3"/>
      <x:c r="O47" s="282"/>
      <x:c r="P47" s="300"/>
    </x:row>
    <x:row r="48" spans="1:16" ht="15.59999999999999964473" customHeight="1">
      <x:c r="A48" s="276"/>
      <x:c r="B48" s="287" t="s">
        <x:v>225</x:v>
      </x:c>
      <x:c r="C48" s="68" t="s">
        <x:v>248</x:v>
      </x:c>
      <x:c r="D48" s="72" t="s">
        <x:v>261</x:v>
      </x:c>
      <x:c r="E48" s="73">
        <x:f t="shared" si="1"/>
        <x:v>4</x:v>
      </x:c>
      <x:c r="F48" s="91">
        <x:v>4</x:v>
      </x:c>
      <x:c r="G48" s="106"/>
      <x:c r="H48" s="137"/>
      <x:c r="I48" s="297"/>
      <x:c r="J48" s="102"/>
      <x:c r="K48" s="138"/>
      <x:c r="L48" s="102"/>
      <x:c r="M48" s="31"/>
      <x:c r="N48" s="25"/>
      <x:c r="O48" s="282"/>
      <x:c r="P48" s="300"/>
    </x:row>
    <x:row r="49" spans="1:16" ht="15.59999999999999964473" customHeight="1">
      <x:c r="A49" s="276"/>
      <x:c r="B49" s="279"/>
      <x:c r="C49" s="1" t="s">
        <x:v>248</x:v>
      </x:c>
      <x:c r="D49" s="62" t="s">
        <x:v>266</x:v>
      </x:c>
      <x:c r="E49" s="63">
        <x:f t="shared" si="1"/>
        <x:v>4</x:v>
      </x:c>
      <x:c r="F49" s="79">
        <x:v>4</x:v>
      </x:c>
      <x:c r="G49" s="143"/>
      <x:c r="H49" s="144"/>
      <x:c r="I49" s="297"/>
      <x:c r="J49" s="104"/>
      <x:c r="K49" s="135"/>
      <x:c r="L49" s="104"/>
      <x:c r="M49" s="28"/>
      <x:c r="N49" s="23"/>
      <x:c r="O49" s="282"/>
      <x:c r="P49" s="300"/>
    </x:row>
    <x:row r="50" spans="1:16" ht="15.59999999999999964473" customHeight="1">
      <x:c r="A50" s="276"/>
      <x:c r="B50" s="279"/>
      <x:c r="C50" s="148" t="s">
        <x:v>248</x:v>
      </x:c>
      <x:c r="D50" s="62" t="s">
        <x:v>90</x:v>
      </x:c>
      <x:c r="E50" s="63">
        <x:f t="shared" si="1"/>
        <x:v>4</x:v>
      </x:c>
      <x:c r="F50" s="79">
        <x:v>4</x:v>
      </x:c>
      <x:c r="G50" s="149"/>
      <x:c r="H50" s="150"/>
      <x:c r="I50" s="297"/>
      <x:c r="J50" s="67"/>
      <x:c r="K50" s="142"/>
      <x:c r="L50" s="67"/>
      <x:c r="M50" s="28"/>
      <x:c r="N50" s="23"/>
      <x:c r="O50" s="282"/>
      <x:c r="P50" s="300"/>
    </x:row>
    <x:row r="51" spans="1:16" ht="15.59999999999999964473" customHeight="1">
      <x:c r="A51" s="276"/>
      <x:c r="B51" s="280"/>
      <x:c r="C51" s="151" t="s">
        <x:v>248</x:v>
      </x:c>
      <x:c r="D51" s="85" t="s">
        <x:v>131</x:v>
      </x:c>
      <x:c r="E51" s="71">
        <x:f t="shared" si="1"/>
        <x:v>4</x:v>
      </x:c>
      <x:c r="F51" s="86">
        <x:v>4</x:v>
      </x:c>
      <x:c r="G51" s="152"/>
      <x:c r="H51" s="153"/>
      <x:c r="I51" s="297"/>
      <x:c r="J51" s="90"/>
      <x:c r="K51" s="142"/>
      <x:c r="L51" s="90"/>
      <x:c r="M51" s="29"/>
      <x:c r="N51" s="24"/>
      <x:c r="O51" s="282"/>
      <x:c r="P51" s="300"/>
    </x:row>
    <x:row r="52" spans="1:16" ht="15.59999999999999964473" customHeight="1">
      <x:c r="A52" s="276"/>
      <x:c r="B52" s="287" t="s">
        <x:v>231</x:v>
      </x:c>
      <x:c r="C52" s="2" t="s">
        <x:v>221</x:v>
      </x:c>
      <x:c r="D52" s="72" t="s">
        <x:v>49</x:v>
      </x:c>
      <x:c r="E52" s="154">
        <x:f t="shared" si="1"/>
        <x:v>3</x:v>
      </x:c>
      <x:c r="F52" s="155">
        <x:v>4</x:v>
      </x:c>
      <x:c r="G52" s="156"/>
      <x:c r="H52" s="137"/>
      <x:c r="I52" s="297"/>
      <x:c r="J52" s="102"/>
      <x:c r="K52" s="138"/>
      <x:c r="L52" s="102"/>
      <x:c r="M52" s="31"/>
      <x:c r="N52" s="2"/>
      <x:c r="O52" s="282"/>
      <x:c r="P52" s="300"/>
    </x:row>
    <x:row r="53" spans="1:16" ht="15.59999999999999964473" customHeight="1">
      <x:c r="A53" s="276"/>
      <x:c r="B53" s="280"/>
      <x:c r="C53" s="4" t="s">
        <x:v>247</x:v>
      </x:c>
      <x:c r="D53" s="85" t="s">
        <x:v>91</x:v>
      </x:c>
      <x:c r="E53" s="71">
        <x:f t="shared" si="1"/>
        <x:v>3</x:v>
      </x:c>
      <x:c r="F53" s="86">
        <x:v>4</x:v>
      </x:c>
      <x:c r="G53" s="146"/>
      <x:c r="H53" s="153"/>
      <x:c r="I53" s="298"/>
      <x:c r="J53" s="90"/>
      <x:c r="K53" s="157"/>
      <x:c r="L53" s="90"/>
      <x:c r="M53" s="29"/>
      <x:c r="N53" s="24"/>
      <x:c r="O53" s="282"/>
      <x:c r="P53" s="300"/>
    </x:row>
    <x:row r="54" spans="1:16" ht="15.59999999999999964473" customHeight="1">
      <x:c r="A54" s="276"/>
      <x:c r="B54" s="158" t="s">
        <x:v>170</x:v>
      </x:c>
      <x:c r="C54" s="2" t="s">
        <x:v>248</x:v>
      </x:c>
      <x:c r="D54" s="72" t="s">
        <x:v>246</x:v>
      </x:c>
      <x:c r="E54" s="73">
        <x:f t="shared" si="1"/>
        <x:v>4</x:v>
      </x:c>
      <x:c r="F54" s="91">
        <x:v>4</x:v>
      </x:c>
      <x:c r="G54" s="156"/>
      <x:c r="H54" s="159"/>
      <x:c r="I54" s="297" t="s">
        <x:v>157</x:v>
      </x:c>
      <x:c r="J54" s="78"/>
      <x:c r="K54" s="135"/>
      <x:c r="L54" s="78"/>
      <x:c r="M54" s="31"/>
      <x:c r="N54" s="2"/>
      <x:c r="O54" s="282"/>
      <x:c r="P54" s="300"/>
    </x:row>
    <x:row r="55" spans="1:16" ht="15.59999999999999964473" customHeight="1">
      <x:c r="A55" s="276"/>
      <x:c r="B55" s="287" t="s">
        <x:v>175</x:v>
      </x:c>
      <x:c r="C55" s="2" t="s">
        <x:v>248</x:v>
      </x:c>
      <x:c r="D55" s="72" t="s">
        <x:v>255</x:v>
      </x:c>
      <x:c r="E55" s="73">
        <x:f t="shared" si="1"/>
        <x:v>4</x:v>
      </x:c>
      <x:c r="F55" s="74">
        <x:v>4</x:v>
      </x:c>
      <x:c r="G55" s="106"/>
      <x:c r="H55" s="159"/>
      <x:c r="I55" s="297"/>
      <x:c r="J55" s="78"/>
      <x:c r="K55" s="138"/>
      <x:c r="L55" s="78"/>
      <x:c r="M55" s="31"/>
      <x:c r="N55" s="2"/>
      <x:c r="O55" s="282"/>
      <x:c r="P55" s="300"/>
    </x:row>
    <x:row r="56" spans="1:16" ht="15.59999999999999964473" customHeight="1">
      <x:c r="A56" s="276"/>
      <x:c r="B56" s="292"/>
      <x:c r="C56" s="35" t="s">
        <x:v>248</x:v>
      </x:c>
      <x:c r="D56" s="160" t="s">
        <x:v>102</x:v>
      </x:c>
      <x:c r="E56" s="108">
        <x:f t="shared" si="1"/>
        <x:v>4</x:v>
      </x:c>
      <x:c r="F56" s="161">
        <x:v>4</x:v>
      </x:c>
      <x:c r="G56" s="162"/>
      <x:c r="H56" s="163"/>
      <x:c r="I56" s="302"/>
      <x:c r="J56" s="164"/>
      <x:c r="K56" s="165"/>
      <x:c r="L56" s="166"/>
      <x:c r="M56" s="32"/>
      <x:c r="N56" s="115"/>
      <x:c r="O56" s="282"/>
      <x:c r="P56" s="300"/>
    </x:row>
    <x:row r="57" spans="1:16" ht="15.59999999999999964473" customHeight="1">
      <x:c r="A57" s="276"/>
      <x:c r="B57" s="167" t="s">
        <x:v>240</x:v>
      </x:c>
      <x:c r="C57" s="168" t="s">
        <x:v>247</x:v>
      </x:c>
      <x:c r="D57" s="118" t="s">
        <x:v>233</x:v>
      </x:c>
      <x:c r="E57" s="169">
        <x:f t="shared" si="1"/>
        <x:v>4</x:v>
      </x:c>
      <x:c r="F57" s="120">
        <x:v>4</x:v>
      </x:c>
      <x:c r="G57" s="170"/>
      <x:c r="H57" s="171"/>
      <x:c r="I57" s="172"/>
      <x:c r="J57" s="303" t="s">
        <x:v>147</x:v>
      </x:c>
      <x:c r="K57" s="173"/>
      <x:c r="L57" s="125"/>
      <x:c r="M57" s="126"/>
      <x:c r="N57" s="117"/>
      <x:c r="O57" s="282"/>
      <x:c r="P57" s="300"/>
    </x:row>
    <x:row r="58" spans="1:16" ht="15.59999999999999964473" customHeight="1">
      <x:c r="A58" s="276"/>
      <x:c r="B58" s="174" t="s">
        <x:v>252</x:v>
      </x:c>
      <x:c r="C58" s="175" t="s">
        <x:v>247</x:v>
      </x:c>
      <x:c r="D58" s="129" t="s">
        <x:v>191</x:v>
      </x:c>
      <x:c r="E58" s="176">
        <x:f>IFERROR(VLOOKUP(D58,기본학점,2,FALSE),"")</x:f>
        <x:v>4</x:v>
      </x:c>
      <x:c r="F58" s="177">
        <x:v>4</x:v>
      </x:c>
      <x:c r="G58" s="178"/>
      <x:c r="H58" s="179"/>
      <x:c r="I58" s="180"/>
      <x:c r="J58" s="304"/>
      <x:c r="K58" s="181"/>
      <x:c r="L58" s="134"/>
      <x:c r="M58" s="182"/>
      <x:c r="N58" s="175"/>
      <x:c r="O58" s="282"/>
      <x:c r="P58" s="300"/>
    </x:row>
    <x:row r="59" spans="1:16" ht="15.59999999999999964473" customHeight="1">
      <x:c r="A59" s="276"/>
      <x:c r="B59" s="287" t="s">
        <x:v>11</x:v>
      </x:c>
      <x:c r="C59" s="2" t="s">
        <x:v>221</x:v>
      </x:c>
      <x:c r="D59" s="72" t="s">
        <x:v>47</x:v>
      </x:c>
      <x:c r="E59" s="154">
        <x:f>IFERROR(VLOOKUP(D59,기본학점,2,FALSE),"")</x:f>
        <x:v>4</x:v>
      </x:c>
      <x:c r="F59" s="155">
        <x:v>4</x:v>
      </x:c>
      <x:c r="G59" s="183"/>
      <x:c r="H59" s="73"/>
      <x:c r="I59" s="184"/>
      <x:c r="J59" s="304"/>
      <x:c r="K59" s="77"/>
      <x:c r="L59" s="78"/>
      <x:c r="M59" s="31"/>
      <x:c r="N59" s="25"/>
      <x:c r="O59" s="282"/>
      <x:c r="P59" s="300"/>
    </x:row>
    <x:row r="60" spans="1:16" ht="15.59999999999999964473" customHeight="1">
      <x:c r="A60" s="276"/>
      <x:c r="B60" s="279"/>
      <x:c r="C60" s="68" t="s">
        <x:v>247</x:v>
      </x:c>
      <x:c r="D60" s="129" t="s">
        <x:v>4</x:v>
      </x:c>
      <x:c r="E60" s="185">
        <x:f>IFERROR(VLOOKUP(D60,기본학점,2,FALSE),"")</x:f>
        <x:v>4</x:v>
      </x:c>
      <x:c r="F60" s="140">
        <x:v>4</x:v>
      </x:c>
      <x:c r="G60" s="186"/>
      <x:c r="H60" s="177"/>
      <x:c r="I60" s="187"/>
      <x:c r="J60" s="304"/>
      <x:c r="K60" s="66"/>
      <x:c r="L60" s="67"/>
      <x:c r="M60" s="28"/>
      <x:c r="N60" s="23"/>
      <x:c r="O60" s="282"/>
      <x:c r="P60" s="300"/>
    </x:row>
    <x:row r="61" spans="1:16" ht="15.59999999999999964473" customHeight="1">
      <x:c r="A61" s="276"/>
      <x:c r="B61" s="279"/>
      <x:c r="C61" s="68" t="s">
        <x:v>247</x:v>
      </x:c>
      <x:c r="D61" s="62" t="s">
        <x:v>104</x:v>
      </x:c>
      <x:c r="E61" s="140">
        <x:f>IFERROR(VLOOKUP(D61,기본학점,2,FALSE),"")</x:f>
        <x:v>4</x:v>
      </x:c>
      <x:c r="F61" s="80">
        <x:v>4</x:v>
      </x:c>
      <x:c r="G61" s="186"/>
      <x:c r="H61" s="63"/>
      <x:c r="I61" s="186"/>
      <x:c r="J61" s="304"/>
      <x:c r="K61" s="66"/>
      <x:c r="L61" s="67"/>
      <x:c r="M61" s="28"/>
      <x:c r="N61" s="23"/>
      <x:c r="O61" s="282"/>
      <x:c r="P61" s="300"/>
    </x:row>
    <x:row r="62" spans="1:16" ht="15.59999999999999964473" customHeight="1">
      <x:c r="A62" s="276"/>
      <x:c r="B62" s="279"/>
      <x:c r="C62" s="68" t="s">
        <x:v>221</x:v>
      </x:c>
      <x:c r="D62" s="62" t="s">
        <x:v>196</x:v>
      </x:c>
      <x:c r="E62" s="63">
        <x:f t="shared" ref="E62:E72" si="2">IFERROR(VLOOKUP(D62,기본학점,2,FALSE),"")</x:f>
        <x:v>4</x:v>
      </x:c>
      <x:c r="F62" s="79">
        <x:v>4</x:v>
      </x:c>
      <x:c r="G62" s="183"/>
      <x:c r="H62" s="63"/>
      <x:c r="I62" s="186"/>
      <x:c r="J62" s="304"/>
      <x:c r="K62" s="66"/>
      <x:c r="L62" s="67"/>
      <x:c r="M62" s="28"/>
      <x:c r="N62" s="23"/>
      <x:c r="O62" s="282"/>
      <x:c r="P62" s="300"/>
    </x:row>
    <x:row r="63" spans="1:16" ht="15.59999999999999964473" customHeight="1">
      <x:c r="A63" s="276"/>
      <x:c r="B63" s="280"/>
      <x:c r="C63" s="3" t="s">
        <x:v>247</x:v>
      </x:c>
      <x:c r="D63" s="85" t="s">
        <x:v>80</x:v>
      </x:c>
      <x:c r="E63" s="71">
        <x:f t="shared" si="2"/>
        <x:v>4</x:v>
      </x:c>
      <x:c r="F63" s="188">
        <x:v>4</x:v>
      </x:c>
      <x:c r="G63" s="189"/>
      <x:c r="H63" s="130"/>
      <x:c r="I63" s="178"/>
      <x:c r="J63" s="304"/>
      <x:c r="K63" s="83"/>
      <x:c r="L63" s="190"/>
      <x:c r="M63" s="191"/>
      <x:c r="N63" s="192"/>
      <x:c r="O63" s="282"/>
      <x:c r="P63" s="300"/>
    </x:row>
    <x:row r="64" spans="1:16" ht="15.59999999999999964473" customHeight="1">
      <x:c r="A64" s="276"/>
      <x:c r="B64" s="287" t="s">
        <x:v>225</x:v>
      </x:c>
      <x:c r="C64" s="68" t="s">
        <x:v>247</x:v>
      </x:c>
      <x:c r="D64" s="72" t="s">
        <x:v>6</x:v>
      </x:c>
      <x:c r="E64" s="73">
        <x:f t="shared" si="2"/>
        <x:v>4</x:v>
      </x:c>
      <x:c r="F64" s="74">
        <x:v>4</x:v>
      </x:c>
      <x:c r="G64" s="183"/>
      <x:c r="H64" s="73"/>
      <x:c r="I64" s="184"/>
      <x:c r="J64" s="304"/>
      <x:c r="K64" s="77"/>
      <x:c r="L64" s="78"/>
      <x:c r="M64" s="31"/>
      <x:c r="N64" s="25"/>
      <x:c r="O64" s="282"/>
      <x:c r="P64" s="300"/>
    </x:row>
    <x:row r="65" spans="1:16" ht="15.59999999999999964473" customHeight="1">
      <x:c r="A65" s="276"/>
      <x:c r="B65" s="279"/>
      <x:c r="C65" s="68" t="s">
        <x:v>247</x:v>
      </x:c>
      <x:c r="D65" s="62" t="s">
        <x:v>164</x:v>
      </x:c>
      <x:c r="E65" s="63">
        <x:f t="shared" si="2"/>
        <x:v>4</x:v>
      </x:c>
      <x:c r="F65" s="80">
        <x:v>4</x:v>
      </x:c>
      <x:c r="G65" s="183"/>
      <x:c r="H65" s="63"/>
      <x:c r="I65" s="186"/>
      <x:c r="J65" s="304"/>
      <x:c r="K65" s="66"/>
      <x:c r="L65" s="67"/>
      <x:c r="M65" s="28"/>
      <x:c r="N65" s="23"/>
      <x:c r="O65" s="282"/>
      <x:c r="P65" s="300"/>
    </x:row>
    <x:row r="66" spans="1:16" ht="15.59999999999999964473" customHeight="1">
      <x:c r="A66" s="276"/>
      <x:c r="B66" s="279"/>
      <x:c r="C66" s="68" t="s">
        <x:v>247</x:v>
      </x:c>
      <x:c r="D66" s="62" t="s">
        <x:v>195</x:v>
      </x:c>
      <x:c r="E66" s="140">
        <x:f t="shared" si="2"/>
        <x:v>4</x:v>
      </x:c>
      <x:c r="F66" s="79">
        <x:v>4</x:v>
      </x:c>
      <x:c r="G66" s="186"/>
      <x:c r="H66" s="63"/>
      <x:c r="I66" s="186"/>
      <x:c r="J66" s="304"/>
      <x:c r="K66" s="66"/>
      <x:c r="L66" s="67"/>
      <x:c r="M66" s="28"/>
      <x:c r="N66" s="23"/>
      <x:c r="O66" s="282"/>
      <x:c r="P66" s="300"/>
    </x:row>
    <x:row r="67" spans="1:16" ht="15.59999999999999964473" customHeight="1">
      <x:c r="A67" s="276"/>
      <x:c r="B67" s="280"/>
      <x:c r="C67" s="5" t="s">
        <x:v>247</x:v>
      </x:c>
      <x:c r="D67" s="85" t="s">
        <x:v>203</x:v>
      </x:c>
      <x:c r="E67" s="71">
        <x:f t="shared" si="2"/>
        <x:v>4</x:v>
      </x:c>
      <x:c r="F67" s="86">
        <x:v>4</x:v>
      </x:c>
      <x:c r="G67" s="193"/>
      <x:c r="H67" s="130"/>
      <x:c r="I67" s="178"/>
      <x:c r="J67" s="304"/>
      <x:c r="K67" s="83"/>
      <x:c r="L67" s="84"/>
      <x:c r="M67" s="191"/>
      <x:c r="N67" s="3"/>
      <x:c r="O67" s="282"/>
      <x:c r="P67" s="300"/>
    </x:row>
    <x:row r="68" spans="1:16" ht="15.59999999999999964473" customHeight="1">
      <x:c r="A68" s="276"/>
      <x:c r="B68" s="287" t="s">
        <x:v>231</x:v>
      </x:c>
      <x:c r="C68" s="2" t="s">
        <x:v>247</x:v>
      </x:c>
      <x:c r="D68" s="72" t="s">
        <x:v>173</x:v>
      </x:c>
      <x:c r="E68" s="154">
        <x:f t="shared" si="2"/>
        <x:v>3</x:v>
      </x:c>
      <x:c r="F68" s="74">
        <x:v>4</x:v>
      </x:c>
      <x:c r="G68" s="184"/>
      <x:c r="H68" s="73"/>
      <x:c r="I68" s="184"/>
      <x:c r="J68" s="304"/>
      <x:c r="K68" s="77"/>
      <x:c r="L68" s="78"/>
      <x:c r="M68" s="31"/>
      <x:c r="N68" s="2"/>
      <x:c r="O68" s="282"/>
      <x:c r="P68" s="300"/>
    </x:row>
    <x:row r="69" spans="1:16" ht="15.59999999999999964473" customHeight="1">
      <x:c r="A69" s="276"/>
      <x:c r="B69" s="280"/>
      <x:c r="C69" s="4" t="s">
        <x:v>247</x:v>
      </x:c>
      <x:c r="D69" s="85" t="s">
        <x:v>183</x:v>
      </x:c>
      <x:c r="E69" s="71">
        <x:f t="shared" si="2"/>
        <x:v>3</x:v>
      </x:c>
      <x:c r="F69" s="188">
        <x:v>4</x:v>
      </x:c>
      <x:c r="G69" s="189"/>
      <x:c r="H69" s="95"/>
      <x:c r="I69" s="189"/>
      <x:c r="J69" s="305"/>
      <x:c r="K69" s="99"/>
      <x:c r="L69" s="84"/>
      <x:c r="M69" s="194"/>
      <x:c r="N69" s="195"/>
      <x:c r="O69" s="282"/>
      <x:c r="P69" s="300"/>
    </x:row>
    <x:row r="70" spans="1:16" ht="15.59999999999999964473" customHeight="1">
      <x:c r="A70" s="276"/>
      <x:c r="B70" s="158" t="s">
        <x:v>170</x:v>
      </x:c>
      <x:c r="C70" s="2" t="s">
        <x:v>247</x:v>
      </x:c>
      <x:c r="D70" s="72" t="s">
        <x:v>193</x:v>
      </x:c>
      <x:c r="E70" s="73">
        <x:f t="shared" si="2"/>
        <x:v>4</x:v>
      </x:c>
      <x:c r="F70" s="176">
        <x:v>4</x:v>
      </x:c>
      <x:c r="G70" s="180"/>
      <x:c r="H70" s="196"/>
      <x:c r="I70" s="180"/>
      <x:c r="J70" s="306" t="s">
        <x:v>157</x:v>
      </x:c>
      <x:c r="K70" s="197"/>
      <x:c r="L70" s="134"/>
      <x:c r="M70" s="182"/>
      <x:c r="N70" s="175"/>
      <x:c r="O70" s="282"/>
      <x:c r="P70" s="300"/>
    </x:row>
    <x:row r="71" spans="1:16" ht="15.59999999999999964473" customHeight="1">
      <x:c r="A71" s="276"/>
      <x:c r="B71" s="287" t="s">
        <x:v>175</x:v>
      </x:c>
      <x:c r="C71" s="198" t="s">
        <x:v>247</x:v>
      </x:c>
      <x:c r="D71" s="72" t="s">
        <x:v>57</x:v>
      </x:c>
      <x:c r="E71" s="73">
        <x:f t="shared" si="2"/>
        <x:v>4</x:v>
      </x:c>
      <x:c r="F71" s="155">
        <x:v>4</x:v>
      </x:c>
      <x:c r="G71" s="183"/>
      <x:c r="H71" s="55"/>
      <x:c r="I71" s="183"/>
      <x:c r="J71" s="304"/>
      <x:c r="K71" s="70"/>
      <x:c r="L71" s="60"/>
      <x:c r="M71" s="26"/>
      <x:c r="N71" s="136"/>
      <x:c r="O71" s="282"/>
      <x:c r="P71" s="300"/>
    </x:row>
    <x:row r="72" spans="1:16" ht="15.59999999999999964473" customHeight="1">
      <x:c r="A72" s="277"/>
      <x:c r="B72" s="292"/>
      <x:c r="C72" s="6" t="s">
        <x:v>247</x:v>
      </x:c>
      <x:c r="D72" s="160" t="s">
        <x:v>39</x:v>
      </x:c>
      <x:c r="E72" s="108">
        <x:f t="shared" si="2"/>
        <x:v>4</x:v>
      </x:c>
      <x:c r="F72" s="161">
        <x:v>4</x:v>
      </x:c>
      <x:c r="G72" s="199"/>
      <x:c r="H72" s="200"/>
      <x:c r="I72" s="199"/>
      <x:c r="J72" s="307"/>
      <x:c r="K72" s="201"/>
      <x:c r="L72" s="202"/>
      <x:c r="M72" s="203"/>
      <x:c r="N72" s="204"/>
      <x:c r="O72" s="294"/>
      <x:c r="P72" s="301"/>
    </x:row>
    <x:row r="73" spans="1:16" ht="15.59999999999999964473" customHeight="1">
      <x:c r="A73" s="275" t="s">
        <x:v>120</x:v>
      </x:c>
      <x:c r="B73" s="84" t="s">
        <x:v>240</x:v>
      </x:c>
      <x:c r="C73" s="68" t="s">
        <x:v>247</x:v>
      </x:c>
      <x:c r="D73" s="129" t="s">
        <x:v>51</x:v>
      </x:c>
      <x:c r="E73" s="55">
        <x:f t="shared" si="1"/>
        <x:v>4</x:v>
      </x:c>
      <x:c r="F73" s="120">
        <x:v>4</x:v>
      </x:c>
      <x:c r="G73" s="132"/>
      <x:c r="H73" s="133"/>
      <x:c r="I73" s="205"/>
      <x:c r="J73" s="60"/>
      <x:c r="K73" s="308" t="s">
        <x:v>147</x:v>
      </x:c>
      <x:c r="L73" s="206"/>
      <x:c r="M73" s="26"/>
      <x:c r="N73" s="136"/>
      <x:c r="O73" s="281">
        <x:v>32</x:v>
      </x:c>
      <x:c r="P73" s="311"/>
    </x:row>
    <x:row r="74" spans="1:16" ht="15.59999999999999964473" customHeight="1">
      <x:c r="A74" s="276"/>
      <x:c r="B74" s="291" t="s">
        <x:v>11</x:v>
      </x:c>
      <x:c r="C74" s="2" t="s">
        <x:v>247</x:v>
      </x:c>
      <x:c r="D74" s="72" t="s">
        <x:v>105</x:v>
      </x:c>
      <x:c r="E74" s="73">
        <x:f t="shared" si="1"/>
        <x:v>4</x:v>
      </x:c>
      <x:c r="F74" s="91">
        <x:v>4</x:v>
      </x:c>
      <x:c r="G74" s="106"/>
      <x:c r="H74" s="137"/>
      <x:c r="I74" s="184"/>
      <x:c r="J74" s="73"/>
      <x:c r="K74" s="309"/>
      <x:c r="L74" s="207"/>
      <x:c r="M74" s="31"/>
      <x:c r="N74" s="25"/>
      <x:c r="O74" s="282"/>
      <x:c r="P74" s="312"/>
    </x:row>
    <x:row r="75" spans="1:16" ht="15.59999999999999964473" customHeight="1">
      <x:c r="A75" s="276"/>
      <x:c r="B75" s="288"/>
      <x:c r="C75" s="1" t="s">
        <x:v>247</x:v>
      </x:c>
      <x:c r="D75" s="62" t="s">
        <x:v>8</x:v>
      </x:c>
      <x:c r="E75" s="63">
        <x:f>IFERROR(VLOOKUP(D75,기본학점,2,FALSE),"")</x:f>
        <x:v>4</x:v>
      </x:c>
      <x:c r="F75" s="91">
        <x:v>4</x:v>
      </x:c>
      <x:c r="G75" s="143"/>
      <x:c r="H75" s="144"/>
      <x:c r="I75" s="186"/>
      <x:c r="J75" s="63"/>
      <x:c r="K75" s="309"/>
      <x:c r="L75" s="208"/>
      <x:c r="M75" s="28"/>
      <x:c r="N75" s="23"/>
      <x:c r="O75" s="282"/>
      <x:c r="P75" s="312"/>
    </x:row>
    <x:row r="76" spans="1:16" ht="15.59999999999999964473" customHeight="1">
      <x:c r="A76" s="276"/>
      <x:c r="B76" s="288"/>
      <x:c r="C76" s="68" t="s">
        <x:v>247</x:v>
      </x:c>
      <x:c r="D76" s="62" t="s">
        <x:v>165</x:v>
      </x:c>
      <x:c r="E76" s="63">
        <x:v>4</x:v>
      </x:c>
      <x:c r="F76" s="79">
        <x:v>4</x:v>
      </x:c>
      <x:c r="G76" s="143"/>
      <x:c r="H76" s="144"/>
      <x:c r="I76" s="186"/>
      <x:c r="J76" s="63"/>
      <x:c r="K76" s="309"/>
      <x:c r="L76" s="208"/>
      <x:c r="M76" s="28" t="s">
        <x:v>199</x:v>
      </x:c>
      <x:c r="N76" s="23"/>
      <x:c r="O76" s="282"/>
      <x:c r="P76" s="312"/>
    </x:row>
    <x:row r="77" spans="1:16" ht="15.59999999999999964473" customHeight="1">
      <x:c r="A77" s="276"/>
      <x:c r="B77" s="288"/>
      <x:c r="C77" s="1" t="s">
        <x:v>248</x:v>
      </x:c>
      <x:c r="D77" s="209" t="s">
        <x:v>93</x:v>
      </x:c>
      <x:c r="E77" s="63">
        <x:f>IFERROR(VLOOKUP(D77,기본학점,2,FALSE),"")</x:f>
        <x:v>4</x:v>
      </x:c>
      <x:c r="F77" s="91">
        <x:v>4</x:v>
      </x:c>
      <x:c r="G77" s="210"/>
      <x:c r="H77" s="211"/>
      <x:c r="I77" s="193"/>
      <x:c r="J77" s="185"/>
      <x:c r="K77" s="309"/>
      <x:c r="L77" s="208"/>
      <x:c r="M77" s="212"/>
      <x:c r="N77" s="24"/>
      <x:c r="O77" s="282"/>
      <x:c r="P77" s="312"/>
    </x:row>
    <x:row r="78" spans="1:16" ht="15.59999999999999964473" customHeight="1">
      <x:c r="A78" s="276"/>
      <x:c r="B78" s="289"/>
      <x:c r="C78" s="192" t="s">
        <x:v>248</x:v>
      </x:c>
      <x:c r="D78" s="85" t="s">
        <x:v>5</x:v>
      </x:c>
      <x:c r="E78" s="63">
        <x:v>4</x:v>
      </x:c>
      <x:c r="F78" s="80">
        <x:v>4</x:v>
      </x:c>
      <x:c r="G78" s="146"/>
      <x:c r="H78" s="147"/>
      <x:c r="I78" s="189"/>
      <x:c r="J78" s="95"/>
      <x:c r="K78" s="309"/>
      <x:c r="L78" s="208"/>
      <x:c r="M78" s="29"/>
      <x:c r="N78" s="3"/>
      <x:c r="O78" s="282"/>
      <x:c r="P78" s="312"/>
    </x:row>
    <x:row r="79" spans="1:16" ht="15.59999999999999964473" customHeight="1">
      <x:c r="A79" s="276"/>
      <x:c r="B79" s="291" t="s">
        <x:v>225</x:v>
      </x:c>
      <x:c r="C79" s="5" t="s">
        <x:v>247</x:v>
      </x:c>
      <x:c r="D79" s="72" t="s">
        <x:v>53</x:v>
      </x:c>
      <x:c r="E79" s="73">
        <x:f t="shared" si="1"/>
        <x:v>4</x:v>
      </x:c>
      <x:c r="F79" s="74">
        <x:v>4</x:v>
      </x:c>
      <x:c r="G79" s="106"/>
      <x:c r="H79" s="137"/>
      <x:c r="I79" s="75"/>
      <x:c r="J79" s="213"/>
      <x:c r="K79" s="309"/>
      <x:c r="L79" s="214"/>
      <x:c r="M79" s="31"/>
      <x:c r="N79" s="25"/>
      <x:c r="O79" s="282"/>
      <x:c r="P79" s="312"/>
    </x:row>
    <x:row r="80" spans="1:16" ht="15.59999999999999964473" customHeight="1">
      <x:c r="A80" s="276"/>
      <x:c r="B80" s="288"/>
      <x:c r="C80" s="148" t="s">
        <x:v>247</x:v>
      </x:c>
      <x:c r="D80" s="62" t="s">
        <x:v>3</x:v>
      </x:c>
      <x:c r="E80" s="63">
        <x:f t="shared" si="1"/>
        <x:v>4</x:v>
      </x:c>
      <x:c r="F80" s="79">
        <x:v>4</x:v>
      </x:c>
      <x:c r="G80" s="143"/>
      <x:c r="H80" s="144"/>
      <x:c r="I80" s="64"/>
      <x:c r="J80" s="215"/>
      <x:c r="K80" s="309"/>
      <x:c r="L80" s="208"/>
      <x:c r="M80" s="28"/>
      <x:c r="N80" s="23"/>
      <x:c r="O80" s="282"/>
      <x:c r="P80" s="312"/>
    </x:row>
    <x:row r="81" spans="1:16" ht="15.59999999999999964473" customHeight="1">
      <x:c r="A81" s="276"/>
      <x:c r="B81" s="288"/>
      <x:c r="C81" s="148" t="s">
        <x:v>247</x:v>
      </x:c>
      <x:c r="D81" s="62" t="s">
        <x:v>56</x:v>
      </x:c>
      <x:c r="E81" s="63">
        <x:f t="shared" si="1"/>
        <x:v>4</x:v>
      </x:c>
      <x:c r="F81" s="79">
        <x:v>4</x:v>
      </x:c>
      <x:c r="G81" s="149"/>
      <x:c r="H81" s="150"/>
      <x:c r="I81" s="216"/>
      <x:c r="J81" s="65"/>
      <x:c r="K81" s="309"/>
      <x:c r="L81" s="208"/>
      <x:c r="M81" s="28"/>
      <x:c r="N81" s="23"/>
      <x:c r="O81" s="282"/>
      <x:c r="P81" s="312"/>
    </x:row>
    <x:row r="82" spans="1:16" ht="15.59999999999999964473" customHeight="1">
      <x:c r="A82" s="276"/>
      <x:c r="B82" s="289"/>
      <x:c r="C82" s="217" t="s">
        <x:v>247</x:v>
      </x:c>
      <x:c r="D82" s="85" t="s">
        <x:v>82</x:v>
      </x:c>
      <x:c r="E82" s="71">
        <x:f t="shared" si="1"/>
        <x:v>4</x:v>
      </x:c>
      <x:c r="F82" s="86">
        <x:v>4</x:v>
      </x:c>
      <x:c r="G82" s="152"/>
      <x:c r="H82" s="153"/>
      <x:c r="I82" s="218"/>
      <x:c r="J82" s="88"/>
      <x:c r="K82" s="309"/>
      <x:c r="L82" s="208"/>
      <x:c r="M82" s="29"/>
      <x:c r="N82" s="24"/>
      <x:c r="O82" s="282"/>
      <x:c r="P82" s="312"/>
    </x:row>
    <x:row r="83" spans="1:16" ht="15.59999999999999964473" customHeight="1">
      <x:c r="A83" s="276"/>
      <x:c r="B83" s="291" t="s">
        <x:v>231</x:v>
      </x:c>
      <x:c r="C83" s="219" t="s">
        <x:v>247</x:v>
      </x:c>
      <x:c r="D83" s="209" t="s">
        <x:v>17</x:v>
      </x:c>
      <x:c r="E83" s="73">
        <x:v>3</x:v>
      </x:c>
      <x:c r="F83" s="74">
        <x:v>4</x:v>
      </x:c>
      <x:c r="G83" s="156"/>
      <x:c r="H83" s="137"/>
      <x:c r="I83" s="101"/>
      <x:c r="J83" s="213"/>
      <x:c r="K83" s="309"/>
      <x:c r="L83" s="214"/>
      <x:c r="M83" s="31" t="s">
        <x:v>158</x:v>
      </x:c>
      <x:c r="N83" s="25"/>
      <x:c r="O83" s="282"/>
      <x:c r="P83" s="312"/>
    </x:row>
    <x:row r="84" spans="1:16" ht="15.59999999999999964473" customHeight="1">
      <x:c r="A84" s="276"/>
      <x:c r="B84" s="289"/>
      <x:c r="C84" s="192" t="s">
        <x:v>247</x:v>
      </x:c>
      <x:c r="D84" s="85" t="s">
        <x:v>174</x:v>
      </x:c>
      <x:c r="E84" s="71">
        <x:v>3</x:v>
      </x:c>
      <x:c r="F84" s="79">
        <x:v>4</x:v>
      </x:c>
      <x:c r="G84" s="146"/>
      <x:c r="H84" s="153"/>
      <x:c r="I84" s="87"/>
      <x:c r="J84" s="88"/>
      <x:c r="K84" s="310"/>
      <x:c r="L84" s="208"/>
      <x:c r="M84" s="29" t="s">
        <x:v>199</x:v>
      </x:c>
      <x:c r="N84" s="24"/>
      <x:c r="O84" s="282"/>
      <x:c r="P84" s="312"/>
    </x:row>
    <x:row r="85" spans="1:16" ht="15.59999999999999964473" customHeight="1">
      <x:c r="A85" s="276"/>
      <x:c r="B85" s="220" t="s">
        <x:v>170</x:v>
      </x:c>
      <x:c r="C85" s="68" t="s">
        <x:v>247</x:v>
      </x:c>
      <x:c r="D85" s="72" t="s">
        <x:v>92</x:v>
      </x:c>
      <x:c r="E85" s="73">
        <x:f t="shared" si="1"/>
        <x:v>4</x:v>
      </x:c>
      <x:c r="F85" s="74">
        <x:v>4</x:v>
      </x:c>
      <x:c r="G85" s="106"/>
      <x:c r="H85" s="159"/>
      <x:c r="I85" s="75"/>
      <x:c r="J85" s="76"/>
      <x:c r="K85" s="309" t="s">
        <x:v>157</x:v>
      </x:c>
      <x:c r="L85" s="207"/>
      <x:c r="M85" s="31"/>
      <x:c r="N85" s="2"/>
      <x:c r="O85" s="282"/>
      <x:c r="P85" s="312"/>
    </x:row>
    <x:row r="86" spans="1:16" ht="15.59999999999999964473" customHeight="1">
      <x:c r="A86" s="276"/>
      <x:c r="B86" s="314" t="s">
        <x:v>175</x:v>
      </x:c>
      <x:c r="C86" s="198" t="s">
        <x:v>221</x:v>
      </x:c>
      <x:c r="D86" s="221" t="s">
        <x:v>121</x:v>
      </x:c>
      <x:c r="E86" s="222">
        <x:f t="shared" si="1"/>
        <x:v>4</x:v>
      </x:c>
      <x:c r="F86" s="155">
        <x:v>4</x:v>
      </x:c>
      <x:c r="G86" s="223"/>
      <x:c r="H86" s="224"/>
      <x:c r="I86" s="75"/>
      <x:c r="J86" s="76"/>
      <x:c r="K86" s="309"/>
      <x:c r="L86" s="214"/>
      <x:c r="M86" s="31"/>
      <x:c r="N86" s="2"/>
      <x:c r="O86" s="282"/>
      <x:c r="P86" s="312"/>
    </x:row>
    <x:row r="87" spans="1:16" ht="15.59999999999999964473" customHeight="1">
      <x:c r="A87" s="276"/>
      <x:c r="B87" s="315"/>
      <x:c r="C87" s="6" t="s">
        <x:v>221</x:v>
      </x:c>
      <x:c r="D87" s="225" t="s">
        <x:v>61</x:v>
      </x:c>
      <x:c r="E87" s="163">
        <x:f t="shared" si="1"/>
        <x:v>4</x:v>
      </x:c>
      <x:c r="F87" s="161">
        <x:v>4</x:v>
      </x:c>
      <x:c r="G87" s="226"/>
      <x:c r="H87" s="227"/>
      <x:c r="I87" s="227"/>
      <x:c r="J87" s="88"/>
      <x:c r="K87" s="310"/>
      <x:c r="L87" s="228"/>
      <x:c r="M87" s="32"/>
      <x:c r="N87" s="6"/>
      <x:c r="O87" s="282"/>
      <x:c r="P87" s="312"/>
    </x:row>
    <x:row r="88" spans="1:16" ht="18" hidden="1" customHeight="1">
      <x:c r="A88" s="276"/>
      <x:c r="B88" s="229"/>
      <x:c r="C88" s="35" t="s">
        <x:v>221</x:v>
      </x:c>
      <x:c r="D88" s="230"/>
      <x:c r="E88" s="231" t="str">
        <x:f t="shared" si="1"/>
        <x:v/>
      </x:c>
      <x:c r="F88" s="232"/>
      <x:c r="G88" s="233"/>
      <x:c r="H88" s="234"/>
      <x:c r="I88" s="229"/>
      <x:c r="J88" s="82"/>
      <x:c r="K88" s="83"/>
      <x:c r="L88" s="84"/>
      <x:c r="M88" s="5"/>
      <x:c r="N88" s="5"/>
      <x:c r="O88" s="282"/>
      <x:c r="P88" s="312"/>
    </x:row>
    <x:row r="89" spans="1:16" ht="17.25" customHeight="1">
      <x:c r="A89" s="276"/>
      <x:c r="B89" s="84" t="s">
        <x:v>240</x:v>
      </x:c>
      <x:c r="C89" s="68" t="s">
        <x:v>221</x:v>
      </x:c>
      <x:c r="D89" s="129" t="s">
        <x:v>63</x:v>
      </x:c>
      <x:c r="E89" s="119">
        <x:f t="shared" si="1"/>
        <x:v>4</x:v>
      </x:c>
      <x:c r="F89" s="235">
        <x:v>4</x:v>
      </x:c>
      <x:c r="G89" s="170"/>
      <x:c r="H89" s="122"/>
      <x:c r="I89" s="197"/>
      <x:c r="J89" s="236"/>
      <x:c r="K89" s="205"/>
      <x:c r="L89" s="316" t="s">
        <x:v>147</x:v>
      </x:c>
      <x:c r="M89" s="182"/>
      <x:c r="N89" s="175"/>
      <x:c r="O89" s="282"/>
      <x:c r="P89" s="312"/>
    </x:row>
    <x:row r="90" spans="1:16">
      <x:c r="A90" s="276"/>
      <x:c r="B90" s="291" t="s">
        <x:v>11</x:v>
      </x:c>
      <x:c r="C90" s="2" t="s">
        <x:v>221</x:v>
      </x:c>
      <x:c r="D90" s="72" t="s">
        <x:v>13</x:v>
      </x:c>
      <x:c r="E90" s="55">
        <x:f t="shared" si="1"/>
        <x:v>4</x:v>
      </x:c>
      <x:c r="F90" s="91">
        <x:v>4</x:v>
      </x:c>
      <x:c r="G90" s="132"/>
      <x:c r="H90" s="141"/>
      <x:c r="I90" s="184"/>
      <x:c r="J90" s="73"/>
      <x:c r="K90" s="184"/>
      <x:c r="L90" s="288"/>
      <x:c r="M90" s="31"/>
      <x:c r="N90" s="25"/>
      <x:c r="O90" s="282"/>
      <x:c r="P90" s="312"/>
    </x:row>
    <x:row r="91" spans="1:16" ht="15" customHeight="1">
      <x:c r="A91" s="276"/>
      <x:c r="B91" s="288"/>
      <x:c r="C91" s="68" t="s">
        <x:v>221</x:v>
      </x:c>
      <x:c r="D91" s="129" t="s">
        <x:v>12</x:v>
      </x:c>
      <x:c r="E91" s="63">
        <x:f>IFERROR(VLOOKUP(D91,기본학점,2,FALSE),"")</x:f>
        <x:v>4</x:v>
      </x:c>
      <x:c r="F91" s="91">
        <x:v>4</x:v>
      </x:c>
      <x:c r="G91" s="143"/>
      <x:c r="H91" s="144"/>
      <x:c r="I91" s="186"/>
      <x:c r="J91" s="63"/>
      <x:c r="K91" s="186"/>
      <x:c r="L91" s="288"/>
      <x:c r="M91" s="28"/>
      <x:c r="N91" s="23"/>
      <x:c r="O91" s="282"/>
      <x:c r="P91" s="312"/>
    </x:row>
    <x:row r="92" spans="1:16" ht="15" customHeight="1">
      <x:c r="A92" s="276"/>
      <x:c r="B92" s="288"/>
      <x:c r="C92" s="68" t="s">
        <x:v>221</x:v>
      </x:c>
      <x:c r="D92" s="62" t="s">
        <x:v>89</x:v>
      </x:c>
      <x:c r="E92" s="63">
        <x:f>IFERROR(VLOOKUP(D92,기본학점,2,FALSE),"")</x:f>
        <x:v>4</x:v>
      </x:c>
      <x:c r="F92" s="79">
        <x:v>4</x:v>
      </x:c>
      <x:c r="G92" s="143"/>
      <x:c r="H92" s="144"/>
      <x:c r="I92" s="186"/>
      <x:c r="J92" s="63"/>
      <x:c r="K92" s="186"/>
      <x:c r="L92" s="288"/>
      <x:c r="M92" s="28"/>
      <x:c r="N92" s="23"/>
      <x:c r="O92" s="282"/>
      <x:c r="P92" s="312"/>
    </x:row>
    <x:row r="93" spans="1:16" ht="17.25" customHeight="1">
      <x:c r="A93" s="276"/>
      <x:c r="B93" s="289"/>
      <x:c r="C93" s="3" t="s">
        <x:v>221</x:v>
      </x:c>
      <x:c r="D93" s="62" t="s">
        <x:v>84</x:v>
      </x:c>
      <x:c r="E93" s="71">
        <x:f t="shared" ref="E93:E101" si="3">IFERROR(VLOOKUP(D93,기본학점,2,FALSE),"")</x:f>
        <x:v>4</x:v>
      </x:c>
      <x:c r="F93" s="86">
        <x:v>4</x:v>
      </x:c>
      <x:c r="G93" s="146"/>
      <x:c r="H93" s="147"/>
      <x:c r="I93" s="189"/>
      <x:c r="J93" s="95"/>
      <x:c r="K93" s="189"/>
      <x:c r="L93" s="288"/>
      <x:c r="M93" s="29"/>
      <x:c r="N93" s="3"/>
      <x:c r="O93" s="282"/>
      <x:c r="P93" s="312"/>
    </x:row>
    <x:row r="94" spans="1:16" ht="14.40000000000000035527" customHeight="1">
      <x:c r="A94" s="276"/>
      <x:c r="B94" s="287" t="s">
        <x:v>225</x:v>
      </x:c>
      <x:c r="C94" s="1" t="s">
        <x:v>221</x:v>
      </x:c>
      <x:c r="D94" s="72" t="s">
        <x:v>182</x:v>
      </x:c>
      <x:c r="E94" s="73">
        <x:f t="shared" si="3"/>
        <x:v>4</x:v>
      </x:c>
      <x:c r="F94" s="79">
        <x:v>4</x:v>
      </x:c>
      <x:c r="G94" s="106"/>
      <x:c r="H94" s="137"/>
      <x:c r="I94" s="75"/>
      <x:c r="J94" s="213"/>
      <x:c r="K94" s="101"/>
      <x:c r="L94" s="288"/>
      <x:c r="M94" s="31"/>
      <x:c r="N94" s="25"/>
      <x:c r="O94" s="282"/>
      <x:c r="P94" s="312"/>
    </x:row>
    <x:row r="95" spans="1:16" ht="14.40000000000000035527" customHeight="1">
      <x:c r="A95" s="276"/>
      <x:c r="B95" s="279"/>
      <x:c r="C95" s="4" t="s">
        <x:v>221</x:v>
      </x:c>
      <x:c r="D95" s="129" t="s">
        <x:v>194</x:v>
      </x:c>
      <x:c r="E95" s="55">
        <x:v>4</x:v>
      </x:c>
      <x:c r="F95" s="79">
        <x:v>4</x:v>
      </x:c>
      <x:c r="G95" s="132"/>
      <x:c r="H95" s="141"/>
      <x:c r="I95" s="57"/>
      <x:c r="J95" s="237"/>
      <x:c r="K95" s="238"/>
      <x:c r="L95" s="288"/>
      <x:c r="M95" s="26"/>
      <x:c r="N95" s="136"/>
      <x:c r="O95" s="282"/>
      <x:c r="P95" s="312"/>
    </x:row>
    <x:row r="96" spans="1:16" ht="12.59999999999999964473" customHeight="1">
      <x:c r="A96" s="276"/>
      <x:c r="B96" s="280"/>
      <x:c r="C96" s="3" t="s">
        <x:v>221</x:v>
      </x:c>
      <x:c r="D96" s="62" t="s">
        <x:v>74</x:v>
      </x:c>
      <x:c r="E96" s="63">
        <x:f t="shared" si="3"/>
        <x:v>4</x:v>
      </x:c>
      <x:c r="F96" s="79">
        <x:v>4</x:v>
      </x:c>
      <x:c r="G96" s="143"/>
      <x:c r="H96" s="144"/>
      <x:c r="I96" s="64"/>
      <x:c r="J96" s="215"/>
      <x:c r="K96" s="103"/>
      <x:c r="L96" s="288"/>
      <x:c r="M96" s="28"/>
      <x:c r="N96" s="23"/>
      <x:c r="O96" s="282"/>
      <x:c r="P96" s="312"/>
    </x:row>
    <x:row r="97" spans="1:16" ht="14.40000000000000035527" customHeight="1">
      <x:c r="A97" s="276"/>
      <x:c r="B97" s="291" t="s">
        <x:v>231</x:v>
      </x:c>
      <x:c r="C97" s="68" t="s">
        <x:v>247</x:v>
      </x:c>
      <x:c r="D97" s="72" t="s">
        <x:v>172</x:v>
      </x:c>
      <x:c r="E97" s="73">
        <x:f t="shared" si="3"/>
        <x:v>3</x:v>
      </x:c>
      <x:c r="F97" s="74">
        <x:v>4</x:v>
      </x:c>
      <x:c r="G97" s="156"/>
      <x:c r="H97" s="137"/>
      <x:c r="I97" s="101"/>
      <x:c r="J97" s="213"/>
      <x:c r="K97" s="101"/>
      <x:c r="L97" s="288"/>
      <x:c r="M97" s="31"/>
      <x:c r="N97" s="25"/>
      <x:c r="O97" s="282"/>
      <x:c r="P97" s="312"/>
    </x:row>
    <x:row r="98" spans="1:16" ht="14.40000000000000035527" customHeight="1">
      <x:c r="A98" s="276"/>
      <x:c r="B98" s="289"/>
      <x:c r="C98" s="3" t="s">
        <x:v>221</x:v>
      </x:c>
      <x:c r="D98" s="239" t="s">
        <x:v>32</x:v>
      </x:c>
      <x:c r="E98" s="71">
        <x:v>3</x:v>
      </x:c>
      <x:c r="F98" s="79">
        <x:v>4</x:v>
      </x:c>
      <x:c r="G98" s="146"/>
      <x:c r="H98" s="153"/>
      <x:c r="I98" s="87"/>
      <x:c r="J98" s="88"/>
      <x:c r="K98" s="89"/>
      <x:c r="L98" s="289"/>
      <x:c r="M98" s="29"/>
      <x:c r="N98" s="24"/>
      <x:c r="O98" s="282"/>
      <x:c r="P98" s="312"/>
    </x:row>
    <x:row r="99" spans="1:16" ht="14.40000000000000035527" customHeight="1">
      <x:c r="A99" s="276"/>
      <x:c r="B99" s="220" t="s">
        <x:v>170</x:v>
      </x:c>
      <x:c r="C99" s="175" t="s">
        <x:v>221</x:v>
      </x:c>
      <x:c r="D99" s="72" t="s">
        <x:v>205</x:v>
      </x:c>
      <x:c r="E99" s="73">
        <x:f t="shared" si="3"/>
        <x:v>4</x:v>
      </x:c>
      <x:c r="F99" s="74">
        <x:v>4</x:v>
      </x:c>
      <x:c r="G99" s="106"/>
      <x:c r="H99" s="159"/>
      <x:c r="I99" s="75"/>
      <x:c r="J99" s="76"/>
      <x:c r="K99" s="101"/>
      <x:c r="L99" s="317" t="s">
        <x:v>157</x:v>
      </x:c>
      <x:c r="M99" s="31"/>
      <x:c r="N99" s="2"/>
      <x:c r="O99" s="282"/>
      <x:c r="P99" s="312"/>
    </x:row>
    <x:row r="100" spans="1:16" ht="14.40000000000000035527" customHeight="1">
      <x:c r="A100" s="276"/>
      <x:c r="B100" s="291" t="s">
        <x:v>175</x:v>
      </x:c>
      <x:c r="C100" s="2" t="s">
        <x:v>247</x:v>
      </x:c>
      <x:c r="D100" s="72" t="s">
        <x:v>103</x:v>
      </x:c>
      <x:c r="E100" s="73">
        <x:f t="shared" si="3"/>
        <x:v>4</x:v>
      </x:c>
      <x:c r="F100" s="74">
        <x:v>4</x:v>
      </x:c>
      <x:c r="G100" s="106"/>
      <x:c r="H100" s="159"/>
      <x:c r="I100" s="75"/>
      <x:c r="J100" s="76"/>
      <x:c r="K100" s="77"/>
      <x:c r="L100" s="317"/>
      <x:c r="M100" s="31"/>
      <x:c r="N100" s="2"/>
      <x:c r="O100" s="282"/>
      <x:c r="P100" s="312"/>
    </x:row>
    <x:row r="101" spans="1:16" ht="15" customHeight="1">
      <x:c r="A101" s="277"/>
      <x:c r="B101" s="288"/>
      <x:c r="C101" s="68" t="s">
        <x:v>247</x:v>
      </x:c>
      <x:c r="D101" s="62" t="s">
        <x:v>111</x:v>
      </x:c>
      <x:c r="E101" s="63">
        <x:f t="shared" si="3"/>
        <x:v>4</x:v>
      </x:c>
      <x:c r="F101" s="91">
        <x:v>4</x:v>
      </x:c>
      <x:c r="G101" s="143"/>
      <x:c r="H101" s="150"/>
      <x:c r="I101" s="64"/>
      <x:c r="J101" s="65"/>
      <x:c r="K101" s="226"/>
      <x:c r="L101" s="318"/>
      <x:c r="M101" s="28"/>
      <x:c r="N101" s="23"/>
      <x:c r="O101" s="294"/>
      <x:c r="P101" s="313"/>
    </x:row>
    <x:row r="102" spans="1:16">
      <x:c r="A102" s="319" t="s">
        <x:v>201</x:v>
      </x:c>
      <x:c r="B102" s="320"/>
      <x:c r="C102" s="320"/>
      <x:c r="D102" s="320"/>
      <x:c r="E102" s="321"/>
      <x:c r="F102" s="240"/>
      <x:c r="G102" s="205">
        <x:f>SUM(G7:G87)</x:f>
        <x:v>29</x:v>
      </x:c>
      <x:c r="H102" s="236">
        <x:f>SUM(H7:H88)</x:f>
        <x:v>29</x:v>
      </x:c>
      <x:c r="I102" s="205">
        <x:v>29</x:v>
      </x:c>
      <x:c r="J102" s="125">
        <x:v>29</x:v>
      </x:c>
      <x:c r="K102" s="205">
        <x:v>29</x:v>
      </x:c>
      <x:c r="L102" s="125">
        <x:v>29</x:v>
      </x:c>
      <x:c r="M102" s="120"/>
      <x:c r="N102" s="241"/>
      <x:c r="O102" s="242">
        <x:v>174</x:v>
      </x:c>
      <x:c r="P102" s="243">
        <x:v>84</x:v>
      </x:c>
    </x:row>
    <x:row r="103" spans="1:16">
      <x:c r="A103" s="322" t="s">
        <x:v>188</x:v>
      </x:c>
      <x:c r="B103" s="323"/>
      <x:c r="C103" s="323"/>
      <x:c r="D103" s="323"/>
      <x:c r="E103" s="324"/>
      <x:c r="F103" s="244">
        <x:v>18</x:v>
      </x:c>
      <x:c r="G103" s="197">
        <x:v>3</x:v>
      </x:c>
      <x:c r="H103" s="229">
        <x:v>3</x:v>
      </x:c>
      <x:c r="I103" s="99">
        <x:v>3</x:v>
      </x:c>
      <x:c r="J103" s="229">
        <x:v>3</x:v>
      </x:c>
      <x:c r="K103" s="99">
        <x:v>3</x:v>
      </x:c>
      <x:c r="L103" s="229">
        <x:v>3</x:v>
      </x:c>
      <x:c r="M103" s="80"/>
      <x:c r="N103" s="81"/>
      <x:c r="O103" s="245">
        <x:v>18</x:v>
      </x:c>
      <x:c r="P103" s="246">
        <x:v>18</x:v>
      </x:c>
    </x:row>
    <x:row r="104" spans="1:16">
      <x:c r="A104" s="322" t="s">
        <x:v>185</x:v>
      </x:c>
      <x:c r="B104" s="323"/>
      <x:c r="C104" s="323"/>
      <x:c r="D104" s="323"/>
      <x:c r="E104" s="323"/>
      <x:c r="F104" s="324"/>
      <x:c r="G104" s="197">
        <x:f>SUM(G102:G103)</x:f>
        <x:v>32</x:v>
      </x:c>
      <x:c r="H104" s="247">
        <x:f>SUM(H102:H103)</x:f>
        <x:v>32</x:v>
      </x:c>
      <x:c r="I104" s="197">
        <x:f>SUM(I102:I103)</x:f>
        <x:v>32</x:v>
      </x:c>
      <x:c r="J104" s="247">
        <x:f>SUM(J102:J103)</x:f>
        <x:v>32</x:v>
      </x:c>
      <x:c r="K104" s="197">
        <x:f>SUM(K102:K103)</x:f>
        <x:v>32</x:v>
      </x:c>
      <x:c r="L104" s="247">
        <x:f>SUM(L102:L103)</x:f>
        <x:v>32</x:v>
      </x:c>
      <x:c r="M104" s="244"/>
      <x:c r="N104" s="248"/>
      <x:c r="O104" s="325">
        <x:v>192</x:v>
      </x:c>
      <x:c r="P104" s="326"/>
    </x:row>
    <x:row r="105" spans="1:16">
      <x:c r="A105" s="322" t="s">
        <x:v>209</x:v>
      </x:c>
      <x:c r="B105" s="323"/>
      <x:c r="C105" s="323"/>
      <x:c r="D105" s="323"/>
      <x:c r="E105" s="323"/>
      <x:c r="F105" s="324"/>
      <x:c r="G105" s="248">
        <x:v>9</x:v>
      </x:c>
      <x:c r="H105" s="247">
        <x:v>9</x:v>
      </x:c>
      <x:c r="I105" s="197">
        <x:v>8</x:v>
      </x:c>
      <x:c r="J105" s="247">
        <x:v>8</x:v>
      </x:c>
      <x:c r="K105" s="197">
        <x:v>8</x:v>
      </x:c>
      <x:c r="L105" s="134">
        <x:v>8</x:v>
      </x:c>
      <x:c r="M105" s="244"/>
      <x:c r="N105" s="248"/>
      <x:c r="O105" s="327"/>
      <x:c r="P105" s="328"/>
    </x:row>
    <x:row r="106" spans="1:16">
      <x:c r="A106" s="329" t="s">
        <x:v>190</x:v>
      </x:c>
      <x:c r="B106" s="330"/>
      <x:c r="C106" s="330"/>
      <x:c r="D106" s="330"/>
      <x:c r="E106" s="330"/>
      <x:c r="F106" s="291"/>
      <x:c r="G106" s="331">
        <x:f>SUM(G104:H104)</x:f>
        <x:v>64</x:v>
      </x:c>
      <x:c r="H106" s="291"/>
      <x:c r="I106" s="331">
        <x:f>SUM(I104:J104)</x:f>
        <x:v>64</x:v>
      </x:c>
      <x:c r="J106" s="291"/>
      <x:c r="K106" s="331">
        <x:f>SUM(K104:L104)</x:f>
        <x:v>64</x:v>
      </x:c>
      <x:c r="L106" s="291"/>
      <x:c r="M106" s="80"/>
      <x:c r="N106" s="81"/>
      <x:c r="O106" s="332">
        <x:v>192</x:v>
      </x:c>
      <x:c r="P106" s="333"/>
    </x:row>
    <x:row r="107" spans="1:16" ht="66" customHeight="1">
      <x:c r="A107" s="334" t="s">
        <x:v>9</x:v>
      </x:c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6"/>
    </x:row>
    <x:row r="109" spans="7:7">
      <x:c r="G109" s="249"/>
    </x:row>
  </x:sheetData>
  <x:mergeCells count="88">
    <x:mergeCell ref="A1:P1"/>
    <x:mergeCell ref="A2:D2"/>
    <x:mergeCell ref="K2:P2"/>
    <x:mergeCell ref="A3:A5"/>
    <x:mergeCell ref="B3:B5"/>
    <x:mergeCell ref="C3:C5"/>
    <x:mergeCell ref="D3:D5"/>
    <x:mergeCell ref="E3:E5"/>
    <x:mergeCell ref="F3:F5"/>
    <x:mergeCell ref="G3:H3"/>
    <x:mergeCell ref="I3:J3"/>
    <x:mergeCell ref="K3:L3"/>
    <x:mergeCell ref="M3:M5"/>
    <x:mergeCell ref="N3:N5"/>
    <x:mergeCell ref="O3:O5"/>
    <x:mergeCell ref="P3:P5"/>
    <x:mergeCell ref="G4:G5"/>
    <x:mergeCell ref="H4:H5"/>
    <x:mergeCell ref="I4:I5"/>
    <x:mergeCell ref="J4:J5"/>
    <x:mergeCell ref="K4:K5"/>
    <x:mergeCell ref="L4:L5"/>
    <x:mergeCell ref="A7:A40"/>
    <x:mergeCell ref="B7:B12"/>
    <x:mergeCell ref="O7:O12"/>
    <x:mergeCell ref="P7:P12"/>
    <x:mergeCell ref="B13:B18"/>
    <x:mergeCell ref="O13:O18"/>
    <x:mergeCell ref="P13:P18"/>
    <x:mergeCell ref="B19:B24"/>
    <x:mergeCell ref="O19:O24"/>
    <x:mergeCell ref="P19:P24"/>
    <x:mergeCell ref="B25:B28"/>
    <x:mergeCell ref="O25:O26"/>
    <x:mergeCell ref="P25:P26"/>
    <x:mergeCell ref="O27:O28"/>
    <x:mergeCell ref="P27:P28"/>
    <x:mergeCell ref="B29:B32"/>
    <x:mergeCell ref="O29:O32"/>
    <x:mergeCell ref="P29:P32"/>
    <x:mergeCell ref="B33:B38"/>
    <x:mergeCell ref="O33:O38"/>
    <x:mergeCell ref="P33:P38"/>
    <x:mergeCell ref="B39:B40"/>
    <x:mergeCell ref="O39:O40"/>
    <x:mergeCell ref="P39:P40"/>
    <x:mergeCell ref="A41:A72"/>
    <x:mergeCell ref="I41:I53"/>
    <x:mergeCell ref="O41:O72"/>
    <x:mergeCell ref="P41:P72"/>
    <x:mergeCell ref="B43:B47"/>
    <x:mergeCell ref="B48:B51"/>
    <x:mergeCell ref="B52:B53"/>
    <x:mergeCell ref="I54:I56"/>
    <x:mergeCell ref="B55:B56"/>
    <x:mergeCell ref="J57:J69"/>
    <x:mergeCell ref="B59:B63"/>
    <x:mergeCell ref="B64:B67"/>
    <x:mergeCell ref="B68:B69"/>
    <x:mergeCell ref="J70:J72"/>
    <x:mergeCell ref="B71:B72"/>
    <x:mergeCell ref="A73:A101"/>
    <x:mergeCell ref="K73:K84"/>
    <x:mergeCell ref="O73:O101"/>
    <x:mergeCell ref="P73:P101"/>
    <x:mergeCell ref="B74:B78"/>
    <x:mergeCell ref="B79:B82"/>
    <x:mergeCell ref="B83:B84"/>
    <x:mergeCell ref="K85:K87"/>
    <x:mergeCell ref="B86:B87"/>
    <x:mergeCell ref="L89:L98"/>
    <x:mergeCell ref="B90:B93"/>
    <x:mergeCell ref="B94:B96"/>
    <x:mergeCell ref="B97:B98"/>
    <x:mergeCell ref="L99:L101"/>
    <x:mergeCell ref="B100:B101"/>
    <x:mergeCell ref="A102:E102"/>
    <x:mergeCell ref="A103:E103"/>
    <x:mergeCell ref="A104:F104"/>
    <x:mergeCell ref="O104:P104"/>
    <x:mergeCell ref="A105:F105"/>
    <x:mergeCell ref="O105:P105"/>
    <x:mergeCell ref="A106:F106"/>
    <x:mergeCell ref="G106:H106"/>
    <x:mergeCell ref="I106:J106"/>
    <x:mergeCell ref="K106:L106"/>
    <x:mergeCell ref="O106:P106"/>
    <x:mergeCell ref="A107:P107"/>
  </x:mergeCells>
  <x:conditionalFormatting sqref="E7:E11 E29:E31 E43:E46">
    <x:cfRule type="expression" dxfId="0" priority="35">
      <x:formula>ISTEXT(E7)</x:formula>
    </x:cfRule>
  </x:conditionalFormatting>
  <x:conditionalFormatting sqref="E8:E10">
    <x:cfRule type="expression" dxfId="0" priority="34">
      <x:formula>ISTEXT(E8)</x:formula>
    </x:cfRule>
  </x:conditionalFormatting>
  <x:conditionalFormatting sqref="E13:E17">
    <x:cfRule type="expression" dxfId="0" priority="33">
      <x:formula>ISTEXT(E13)</x:formula>
    </x:cfRule>
  </x:conditionalFormatting>
  <x:conditionalFormatting sqref="E19:E22">
    <x:cfRule type="expression" dxfId="0" priority="32">
      <x:formula>ISTEXT(E19)</x:formula>
    </x:cfRule>
  </x:conditionalFormatting>
  <x:conditionalFormatting sqref="E25:E25">
    <x:cfRule type="expression" dxfId="0" priority="31">
      <x:formula>ISTEXT(E25)</x:formula>
    </x:cfRule>
  </x:conditionalFormatting>
  <x:conditionalFormatting sqref="E27:E27">
    <x:cfRule type="expression" dxfId="0" priority="30">
      <x:formula>ISTEXT(E27)</x:formula>
    </x:cfRule>
  </x:conditionalFormatting>
  <x:conditionalFormatting sqref="E33:E37">
    <x:cfRule type="expression" dxfId="0" priority="29">
      <x:formula>ISTEXT(E33)</x:formula>
    </x:cfRule>
  </x:conditionalFormatting>
  <x:conditionalFormatting sqref="E39:E39">
    <x:cfRule type="expression" dxfId="0" priority="28">
      <x:formula>ISTEXT(E39)</x:formula>
    </x:cfRule>
  </x:conditionalFormatting>
  <x:conditionalFormatting sqref="E41:E42">
    <x:cfRule type="expression" dxfId="0" priority="27">
      <x:formula>ISTEXT(E41)</x:formula>
    </x:cfRule>
  </x:conditionalFormatting>
  <x:conditionalFormatting sqref="E48:E50">
    <x:cfRule type="expression" dxfId="0" priority="26">
      <x:formula>ISTEXT(E48)</x:formula>
    </x:cfRule>
  </x:conditionalFormatting>
  <x:conditionalFormatting sqref="E52:E52">
    <x:cfRule type="expression" dxfId="0" priority="25">
      <x:formula>ISTEXT(E52)</x:formula>
    </x:cfRule>
  </x:conditionalFormatting>
  <x:conditionalFormatting sqref="E54:E54">
    <x:cfRule type="expression" dxfId="0" priority="24">
      <x:formula>ISTEXT(E54)</x:formula>
    </x:cfRule>
  </x:conditionalFormatting>
  <x:conditionalFormatting sqref="E55:E56">
    <x:cfRule type="expression" dxfId="0" priority="23">
      <x:formula>ISTEXT(E55)</x:formula>
    </x:cfRule>
  </x:conditionalFormatting>
  <x:conditionalFormatting sqref="E73:E73">
    <x:cfRule type="expression" dxfId="0" priority="22">
      <x:formula>ISTEXT(E73)</x:formula>
    </x:cfRule>
  </x:conditionalFormatting>
  <x:conditionalFormatting sqref="E74:E78">
    <x:cfRule type="expression" dxfId="0" priority="21">
      <x:formula>ISTEXT(E74)</x:formula>
    </x:cfRule>
  </x:conditionalFormatting>
  <x:conditionalFormatting sqref="E79:E79">
    <x:cfRule type="expression" dxfId="0" priority="20">
      <x:formula>ISTEXT(E79)</x:formula>
    </x:cfRule>
  </x:conditionalFormatting>
  <x:conditionalFormatting sqref="E80:E81">
    <x:cfRule type="expression" dxfId="0" priority="19">
      <x:formula>ISTEXT(E80)</x:formula>
    </x:cfRule>
  </x:conditionalFormatting>
  <x:conditionalFormatting sqref="E83:E83">
    <x:cfRule type="expression" dxfId="0" priority="18">
      <x:formula>ISTEXT(E83)</x:formula>
    </x:cfRule>
  </x:conditionalFormatting>
  <x:conditionalFormatting sqref="E85:E85">
    <x:cfRule type="expression" dxfId="0" priority="17">
      <x:formula>ISTEXT(E85)</x:formula>
    </x:cfRule>
  </x:conditionalFormatting>
  <x:conditionalFormatting sqref="E86:E88">
    <x:cfRule type="expression" dxfId="0" priority="16">
      <x:formula>ISTEXT(E86)</x:formula>
    </x:cfRule>
  </x:conditionalFormatting>
  <x:conditionalFormatting sqref="E23:E23">
    <x:cfRule type="expression" dxfId="0" priority="15">
      <x:formula>ISTEXT(E23)</x:formula>
    </x:cfRule>
  </x:conditionalFormatting>
  <x:conditionalFormatting sqref="E89:E89">
    <x:cfRule type="expression" dxfId="0" priority="14">
      <x:formula>ISTEXT(E89)</x:formula>
    </x:cfRule>
  </x:conditionalFormatting>
  <x:conditionalFormatting sqref="E90:E92">
    <x:cfRule type="expression" dxfId="0" priority="13">
      <x:formula>ISTEXT(E90)</x:formula>
    </x:cfRule>
  </x:conditionalFormatting>
  <x:conditionalFormatting sqref="E94:E95">
    <x:cfRule type="expression" dxfId="0" priority="12">
      <x:formula>ISTEXT(E94)</x:formula>
    </x:cfRule>
  </x:conditionalFormatting>
  <x:conditionalFormatting sqref="E96:E96">
    <x:cfRule type="expression" dxfId="0" priority="11">
      <x:formula>ISTEXT(E96)</x:formula>
    </x:cfRule>
  </x:conditionalFormatting>
  <x:conditionalFormatting sqref="E97:E97">
    <x:cfRule type="expression" dxfId="0" priority="10">
      <x:formula>ISTEXT(E97)</x:formula>
    </x:cfRule>
  </x:conditionalFormatting>
  <x:conditionalFormatting sqref="E99:E99">
    <x:cfRule type="expression" dxfId="0" priority="9">
      <x:formula>ISTEXT(E99)</x:formula>
    </x:cfRule>
  </x:conditionalFormatting>
  <x:conditionalFormatting sqref="E100:E101">
    <x:cfRule type="expression" dxfId="0" priority="8">
      <x:formula>ISTEXT(E100)</x:formula>
    </x:cfRule>
  </x:conditionalFormatting>
  <x:conditionalFormatting sqref="E59:E62">
    <x:cfRule type="expression" dxfId="0" priority="6">
      <x:formula>ISTEXT(E59)</x:formula>
    </x:cfRule>
  </x:conditionalFormatting>
  <x:conditionalFormatting sqref="E57:E58">
    <x:cfRule type="expression" dxfId="0" priority="5">
      <x:formula>ISTEXT(E57)</x:formula>
    </x:cfRule>
  </x:conditionalFormatting>
  <x:conditionalFormatting sqref="E64:E66">
    <x:cfRule type="expression" dxfId="0" priority="4">
      <x:formula>ISTEXT(E64)</x:formula>
    </x:cfRule>
  </x:conditionalFormatting>
  <x:conditionalFormatting sqref="E68:E68">
    <x:cfRule type="expression" dxfId="0" priority="3">
      <x:formula>ISTEXT(E68)</x:formula>
    </x:cfRule>
  </x:conditionalFormatting>
  <x:conditionalFormatting sqref="E70:E70">
    <x:cfRule type="expression" dxfId="0" priority="2">
      <x:formula>ISTEXT(E70)</x:formula>
    </x:cfRule>
  </x:conditionalFormatting>
  <x:conditionalFormatting sqref="E71:E72">
    <x:cfRule type="expression" dxfId="0" priority="1">
      <x:formula>ISTEXT(E71)</x:formula>
    </x:cfRule>
  </x:conditionalFormatting>
  <x:conditionalFormatting sqref="F71:F101 F7:F69">
    <x:cfRule type="expression" dxfId="1" priority="36"/>
  </x:conditionalFormatting>
  <x:conditionalFormatting sqref="G72:G72">
    <x:cfRule type="expression" dxfId="1" priority="7"/>
  </x:conditionalFormatting>
  <x:conditionalFormatting sqref="H57:I72">
    <x:cfRule type="expression" dxfId="1" priority="37"/>
  </x:conditionalFormatting>
  <x:dataValidations count="6">
    <x:dataValidation type="list" allowBlank="1" showInputMessage="1" sqref="N89:N101 N7:N87">
      <x:formula1>과목개설유형</x:formula1>
    </x:dataValidation>
    <x:dataValidation type="list" allowBlank="1" showInputMessage="1" sqref="N88:N88 M7:M101">
      <x:formula1>비고</x:formula1>
    </x:dataValidation>
    <x:dataValidation type="list" allowBlank="1" showInputMessage="1" showErrorMessage="1" sqref="C38:C40 C68:C72 C52:C56 C101:C101">
      <x:formula1>과목유형2</x:formula1>
    </x:dataValidation>
    <x:dataValidation type="list" allowBlank="1" showInputMessage="1" showErrorMessage="1" sqref="B7:B10 B13:B101">
      <x:formula1>교과군</x:formula1>
    </x:dataValidation>
    <x:dataValidation type="list" allowBlank="1" showInputMessage="1" showErrorMessage="1" sqref="C7:C37 C41:C51 C57:C67 C73:C100">
      <x:formula1>과목유형</x:formula1>
    </x:dataValidation>
    <x:dataValidation type="list" allowBlank="1" showInputMessage="1" sqref="D7:D101"/>
  </x:dataValidations>
  <x:pageMargins left="1.18083333969116210938" right="0.19666667282581329346" top="0.19666667282581329346" bottom="0" header="0" footer="0"/>
  <x:pageSetup paperSize="12" scale="6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rowBreaks count="1" manualBreakCount="1">
    <x:brk id="72" min="0" max="1048575" man="1" pt="0"/>
  </x:rowBreaks>
  <x:legacyDrawing r:id="rId1"/>
  <x:tableParts count="1">
    <x:tablePart r:id="rId2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배당표 작성 요령</vt:lpstr>
      <vt:lpstr>데이터베이스</vt:lpstr>
      <vt:lpstr>2027입학생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남연</cp:lastModifiedBy>
  <cp:revision>5</cp:revision>
  <cp:lastPrinted>2025-05-20T01:43:42.000</cp:lastPrinted>
  <dcterms:created xsi:type="dcterms:W3CDTF">2002-10-10T04:04:10.000</dcterms:created>
  <dcterms:modified xsi:type="dcterms:W3CDTF">2026-08-06T05:20:54.681</dcterms:modified>
  <cp:version>1300.0100.01</cp:version>
</cp:coreProperties>
</file>