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2026 교육과정\교육과정 제출\"/>
    </mc:Choice>
  </mc:AlternateContent>
  <xr:revisionPtr revIDLastSave="0" documentId="13_ncr:1_{2DF48F3A-70C9-4460-9196-252F5BC45D22}" xr6:coauthVersionLast="47" xr6:coauthVersionMax="47" xr10:uidLastSave="{00000000-0000-0000-0000-000000000000}"/>
  <bookViews>
    <workbookView xWindow="-108" yWindow="-108" windowWidth="23256" windowHeight="12456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'2027입학생'!$A$1:$P$112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2" i="40" l="1"/>
  <c r="E96" i="40"/>
  <c r="E93" i="40"/>
  <c r="E94" i="40"/>
  <c r="E90" i="40"/>
  <c r="E74" i="40"/>
  <c r="E75" i="40"/>
  <c r="E65" i="40"/>
  <c r="E59" i="40"/>
  <c r="E60" i="40"/>
  <c r="E50" i="40"/>
  <c r="E45" i="40"/>
  <c r="E46" i="40"/>
  <c r="E40" i="40"/>
  <c r="E37" i="40"/>
  <c r="E27" i="40"/>
  <c r="E18" i="40"/>
  <c r="E19" i="40"/>
  <c r="E13" i="40"/>
  <c r="E14" i="40"/>
  <c r="E8" i="40"/>
  <c r="E9" i="40"/>
  <c r="E25" i="40" l="1"/>
  <c r="E6" i="40" l="1"/>
  <c r="O39" i="40"/>
  <c r="O35" i="40"/>
  <c r="O29" i="40"/>
  <c r="E30" i="40"/>
  <c r="E32" i="40"/>
  <c r="O25" i="40"/>
  <c r="O23" i="40"/>
  <c r="O21" i="40"/>
  <c r="O16" i="40"/>
  <c r="E17" i="40"/>
  <c r="O11" i="40"/>
  <c r="O6" i="40"/>
  <c r="O99" i="40" l="1"/>
  <c r="E7" i="40"/>
  <c r="H99" i="40" l="1"/>
  <c r="E10" i="40"/>
  <c r="E11" i="40"/>
  <c r="E12" i="40"/>
  <c r="E15" i="40"/>
  <c r="E16" i="40"/>
  <c r="E20" i="40"/>
  <c r="E21" i="40"/>
  <c r="E22" i="40"/>
  <c r="E23" i="40"/>
  <c r="E24" i="40"/>
  <c r="E26" i="40"/>
  <c r="E28" i="40"/>
  <c r="E29" i="40"/>
  <c r="E31" i="40"/>
  <c r="E33" i="40"/>
  <c r="E34" i="40"/>
  <c r="E35" i="40"/>
  <c r="E36" i="40"/>
  <c r="E38" i="40"/>
  <c r="E39" i="40"/>
  <c r="E41" i="40"/>
  <c r="E42" i="40"/>
  <c r="E43" i="40"/>
  <c r="E44" i="40"/>
  <c r="E47" i="40"/>
  <c r="E48" i="40"/>
  <c r="E49" i="40"/>
  <c r="E51" i="40"/>
  <c r="E53" i="40"/>
  <c r="E54" i="40"/>
  <c r="E55" i="40"/>
  <c r="E56" i="40"/>
  <c r="E57" i="40"/>
  <c r="E58" i="40"/>
  <c r="E61" i="40"/>
  <c r="E62" i="40"/>
  <c r="E63" i="40"/>
  <c r="E64" i="40"/>
  <c r="E66" i="40"/>
  <c r="E67" i="40"/>
  <c r="E68" i="40"/>
  <c r="E69" i="40"/>
  <c r="E70" i="40"/>
  <c r="E71" i="40"/>
  <c r="E72" i="40"/>
  <c r="E73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1" i="40"/>
  <c r="E92" i="40"/>
  <c r="E95" i="40"/>
  <c r="E97" i="40"/>
  <c r="E98" i="40"/>
  <c r="O100" i="40" l="1"/>
  <c r="L101" i="40" l="1"/>
  <c r="K101" i="40"/>
  <c r="J101" i="40"/>
  <c r="I101" i="40"/>
  <c r="H101" i="40"/>
  <c r="G99" i="40"/>
  <c r="G101" i="40" l="1"/>
  <c r="O101" i="40" s="1"/>
  <c r="K103" i="40"/>
  <c r="I103" i="40"/>
  <c r="P99" i="40"/>
  <c r="G103" i="40" l="1"/>
  <c r="O103" i="40" s="1"/>
</calcChain>
</file>

<file path=xl/sharedStrings.xml><?xml version="1.0" encoding="utf-8"?>
<sst xmlns="http://schemas.openxmlformats.org/spreadsheetml/2006/main" count="664" uniqueCount="317">
  <si>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</si>
  <si>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</si>
  <si>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</si>
  <si>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</si>
  <si>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</si>
  <si>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</si>
  <si>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</si>
  <si>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</si>
  <si>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</si>
  <si>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</si>
  <si>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</si>
  <si>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</si>
  <si>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</si>
  <si>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</si>
  <si>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</si>
  <si>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</si>
  <si>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</si>
  <si>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</si>
  <si>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</si>
  <si>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</si>
  <si>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</si>
  <si>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</si>
  <si>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</si>
  <si>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</si>
  <si>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</si>
  <si>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</si>
  <si>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</si>
  <si>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</si>
  <si>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</si>
  <si>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</si>
  <si>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</si>
  <si>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</si>
  <si>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</si>
  <si>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</si>
  <si>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</si>
  <si>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</si>
  <si>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</si>
  <si>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</si>
  <si>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</si>
  <si>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</si>
  <si>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</si>
  <si>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</si>
  <si>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</si>
  <si>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</si>
  <si>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</si>
  <si>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</si>
  <si>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</si>
  <si>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</si>
  <si>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</si>
  <si>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</si>
  <si>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</si>
  <si>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</si>
  <si>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</si>
  <si>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</si>
  <si>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</si>
  <si>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</si>
  <si>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</si>
  <si>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</si>
  <si>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</si>
  <si>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</si>
  <si>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</si>
  <si>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</si>
  <si>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</si>
  <si>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</si>
  <si>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</si>
  <si>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</si>
  <si>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</si>
  <si>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</si>
  <si>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</si>
  <si>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</si>
  <si>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</si>
  <si>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</si>
  <si>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</si>
  <si>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</si>
  <si>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</si>
  <si>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</si>
  <si>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</si>
  <si>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</si>
  <si>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</si>
  <si>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</si>
  <si>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</si>
  <si>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</si>
  <si>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</si>
  <si>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</si>
  <si>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</si>
  <si>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</si>
  <si>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</si>
  <si>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</si>
  <si>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</si>
  <si>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</si>
  <si>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</si>
  <si>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</si>
  <si>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</si>
  <si>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</si>
  <si>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</si>
  <si>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</si>
  <si>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</si>
  <si>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</si>
  <si>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</si>
  <si>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</si>
  <si>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</si>
  <si>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</si>
  <si>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</si>
  <si>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</si>
  <si>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</si>
  <si>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</si>
  <si>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</si>
  <si>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</si>
  <si>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</si>
  <si>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</si>
  <si>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</si>
  <si>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</si>
  <si>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</si>
  <si>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</si>
  <si>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</si>
  <si>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</si>
  <si>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</si>
  <si>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</si>
  <si>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</si>
  <si>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</si>
  <si>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</si>
  <si>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</si>
  <si>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</si>
  <si>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</si>
  <si>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</si>
  <si>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</si>
  <si>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</si>
  <si>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</si>
  <si>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</si>
  <si>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</si>
  <si>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</si>
  <si>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</si>
  <si>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</si>
  <si>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</si>
  <si>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</si>
  <si>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</si>
  <si>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</si>
  <si>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</si>
  <si>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</si>
  <si>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</si>
  <si>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</si>
  <si>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</si>
  <si>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</si>
  <si>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</si>
  <si>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</si>
  <si>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</si>
  <si>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</si>
  <si>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</si>
  <si>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</si>
  <si>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</si>
  <si>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</si>
  <si>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</si>
  <si>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</si>
  <si>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</si>
  <si>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</si>
  <si>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</si>
  <si>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</si>
  <si>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</si>
  <si>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</si>
  <si>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</si>
  <si>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</si>
  <si>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</si>
  <si>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</si>
  <si>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</si>
  <si>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</si>
  <si>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</si>
  <si>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</si>
  <si>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</si>
  <si>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</si>
  <si>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</si>
  <si>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</si>
  <si>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</si>
  <si>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</si>
  <si>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</si>
  <si>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</si>
  <si>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</si>
  <si>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</si>
  <si>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</si>
  <si>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</si>
  <si>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</si>
  <si>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</si>
  <si>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</si>
  <si>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</si>
  <si>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</si>
  <si>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</si>
  <si>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</si>
  <si>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</si>
  <si>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</si>
  <si>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</si>
  <si>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</si>
  <si>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</si>
  <si>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</si>
  <si>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</si>
  <si>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</si>
  <si>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</si>
  <si>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</si>
  <si>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</si>
  <si>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</si>
  <si>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</si>
  <si>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</si>
  <si>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</si>
  <si>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</si>
  <si>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</si>
  <si>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</si>
  <si>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</si>
  <si>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</si>
  <si>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</si>
  <si>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</si>
  <si>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</si>
  <si>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</si>
  <si>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</si>
  <si>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</si>
  <si>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</si>
  <si>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</si>
  <si>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</si>
  <si>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</si>
  <si>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</si>
  <si>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</si>
  <si>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</si>
  <si>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</si>
  <si>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</si>
  <si>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</si>
  <si>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</si>
  <si>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</si>
  <si>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</si>
  <si>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</si>
  <si>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</si>
  <si>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</si>
  <si>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</si>
  <si>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</si>
  <si>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</si>
  <si>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</si>
  <si>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</si>
  <si>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</si>
  <si>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</si>
  <si>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</si>
  <si>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</si>
  <si>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</si>
  <si>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</si>
  <si>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</si>
  <si>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</si>
  <si>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</si>
  <si>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</si>
  <si>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</si>
  <si>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</si>
  <si>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</si>
  <si>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</si>
  <si>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</si>
  <si>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</si>
  <si>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</si>
  <si>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</si>
  <si>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</si>
  <si>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</si>
  <si>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</si>
  <si>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</si>
  <si>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</si>
  <si>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</si>
  <si>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</si>
  <si>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</si>
  <si>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</si>
  <si>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</si>
  <si>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</si>
  <si>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공통</t>
  </si>
  <si>
    <t>일반</t>
  </si>
  <si>
    <t xml:space="preserve">화법과 언어 </t>
  </si>
  <si>
    <t xml:space="preserve">독서와 작문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</si>
  <si>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</si>
  <si>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</si>
  <si>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</si>
  <si>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</si>
  <si>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</si>
  <si>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</si>
  <si>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</si>
  <si>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</si>
  <si>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</si>
  <si>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</si>
  <si>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</si>
  <si>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</si>
  <si>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진로</t>
  </si>
  <si>
    <t>스포츠 문화</t>
  </si>
  <si>
    <t>스포츠 과학</t>
  </si>
  <si>
    <t>체육1</t>
  </si>
  <si>
    <t>체육2</t>
  </si>
  <si>
    <t>융합</t>
  </si>
  <si>
    <t>음악</t>
  </si>
  <si>
    <t>미술</t>
  </si>
  <si>
    <t xml:space="preserve">주제 탐구 독서 </t>
  </si>
  <si>
    <t>영어 발표와 토론</t>
  </si>
  <si>
    <t>물리학</t>
  </si>
  <si>
    <t>화학</t>
  </si>
  <si>
    <t xml:space="preserve">생명과학 </t>
  </si>
  <si>
    <t>지구과학</t>
  </si>
  <si>
    <t xml:space="preserve">일본어 </t>
  </si>
  <si>
    <t>중국어</t>
  </si>
  <si>
    <t>12
(택4)</t>
    <phoneticPr fontId="1" type="noConversion"/>
  </si>
  <si>
    <t>3
(택1)</t>
    <phoneticPr fontId="1" type="noConversion"/>
  </si>
  <si>
    <t>문학과 영상</t>
  </si>
  <si>
    <t>영미 문학 읽기</t>
  </si>
  <si>
    <t>한국지리 탐구</t>
  </si>
  <si>
    <t>정치</t>
  </si>
  <si>
    <t xml:space="preserve">윤리와 사상 </t>
  </si>
  <si>
    <t>소프트웨어와 생활</t>
  </si>
  <si>
    <t xml:space="preserve">중국어 회화 </t>
  </si>
  <si>
    <t>미적분Ⅱ</t>
  </si>
  <si>
    <t xml:space="preserve">심화 영어 </t>
  </si>
  <si>
    <t xml:space="preserve">법과 사회 </t>
  </si>
  <si>
    <t>2
(택1)</t>
    <phoneticPr fontId="1" type="noConversion"/>
  </si>
  <si>
    <t>인문학과 윤리</t>
  </si>
  <si>
    <t>보건</t>
  </si>
  <si>
    <t>논술</t>
  </si>
  <si>
    <t>21
(택7)</t>
    <phoneticPr fontId="1" type="noConversion"/>
  </si>
  <si>
    <t>※ 유의사항
- 2, 3학년을 통틀어 국수영 과목에서 최대 8과목까지만 선택할 수 있음(81학점 이하로 제한).</t>
    <phoneticPr fontId="1" type="noConversion"/>
  </si>
  <si>
    <t>성수고등학교 교육과정 학점 배당표</t>
    <phoneticPr fontId="1" type="noConversion"/>
  </si>
  <si>
    <t>[2]</t>
    <phoneticPr fontId="1" type="noConversion"/>
  </si>
  <si>
    <t>[3]</t>
    <phoneticPr fontId="1" type="noConversion"/>
  </si>
  <si>
    <t>교차이수</t>
    <phoneticPr fontId="1" type="noConversion"/>
  </si>
  <si>
    <t>2027학년도 입학(2022 개정 교육과정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</si>
</sst>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8">
    <xf numFmtId="0" fontId="0" fillId="0" borderId="0" xfId="0"/>
    <xf numFmtId="0" fontId="0" fillId="0" borderId="73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1" fillId="0" borderId="32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49" fontId="11" fillId="0" borderId="22" xfId="0" applyNumberFormat="1" applyFont="1" applyBorder="1" applyAlignment="1">
      <alignment horizontal="center" vertical="center" wrapText="1"/>
    </xf>
    <xf numFmtId="49" fontId="11" fillId="0" borderId="20" xfId="0" applyNumberFormat="1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49" fontId="11" fillId="0" borderId="59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  <xf numFmtId="0" fontId="11" fillId="0" borderId="44" xfId="0" quotePrefix="1" applyFont="1" applyBorder="1" applyAlignment="1">
      <alignment horizontal="center" vertical="center" wrapText="1"/>
    </xf>
    <xf numFmtId="0" fontId="11" fillId="0" borderId="28" xfId="0" quotePrefix="1" applyFont="1" applyBorder="1" applyAlignment="1">
      <alignment horizontal="center" vertical="center" wrapText="1"/>
    </xf>
    <xf numFmtId="0" fontId="11" fillId="0" borderId="40" xfId="0" quotePrefix="1" applyFont="1" applyBorder="1" applyAlignment="1">
      <alignment horizontal="center" vertical="center" wrapText="1"/>
    </xf>
    <xf numFmtId="0" fontId="11" fillId="0" borderId="29" xfId="0" quotePrefix="1" applyFont="1" applyBorder="1" applyAlignment="1">
      <alignment horizontal="center" vertical="center" wrapText="1"/>
    </xf>
    <xf numFmtId="49" fontId="11" fillId="0" borderId="16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 wrapText="1"/>
    </xf>
    <xf numFmtId="0" fontId="11" fillId="0" borderId="43" xfId="0" quotePrefix="1" applyFont="1" applyBorder="1" applyAlignment="1">
      <alignment horizontal="center" vertical="center" wrapText="1"/>
    </xf>
    <xf numFmtId="0" fontId="11" fillId="2" borderId="101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0" borderId="39" xfId="0" quotePrefix="1" applyFont="1" applyBorder="1" applyAlignment="1">
      <alignment horizontal="center" vertical="center" wrapText="1"/>
    </xf>
    <xf numFmtId="0" fontId="11" fillId="2" borderId="71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0" fillId="2" borderId="72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1" fillId="0" borderId="21" xfId="0" quotePrefix="1" applyFont="1" applyBorder="1" applyAlignment="1">
      <alignment horizontal="center" vertical="center" wrapText="1"/>
    </xf>
    <xf numFmtId="0" fontId="11" fillId="0" borderId="96" xfId="0" quotePrefix="1" applyFont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2" borderId="60" xfId="0" applyFont="1" applyFill="1" applyBorder="1" applyAlignment="1">
      <alignment horizontal="center" vertical="center" wrapText="1"/>
    </xf>
    <xf numFmtId="0" fontId="10" fillId="2" borderId="62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 wrapText="1"/>
    </xf>
    <xf numFmtId="0" fontId="11" fillId="0" borderId="96" xfId="0" applyFont="1" applyBorder="1" applyAlignment="1">
      <alignment horizontal="center" vertical="center" wrapText="1"/>
    </xf>
    <xf numFmtId="0" fontId="11" fillId="0" borderId="98" xfId="0" applyFont="1" applyBorder="1" applyAlignment="1">
      <alignment horizontal="center" vertical="center" wrapText="1"/>
    </xf>
    <xf numFmtId="0" fontId="11" fillId="2" borderId="96" xfId="0" applyFont="1" applyFill="1" applyBorder="1" applyAlignment="1">
      <alignment horizontal="center" vertical="center" wrapText="1"/>
    </xf>
    <xf numFmtId="0" fontId="11" fillId="0" borderId="99" xfId="0" applyFont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shrinkToFit="1"/>
    </xf>
    <xf numFmtId="0" fontId="12" fillId="8" borderId="2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3" fillId="8" borderId="2" xfId="0" applyNumberFormat="1" applyFont="1" applyFill="1" applyBorder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3" fillId="9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0" fontId="12" fillId="9" borderId="2" xfId="0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19" xfId="0" quotePrefix="1" applyFont="1" applyFill="1" applyBorder="1" applyAlignment="1">
      <alignment horizontal="center" vertical="center" wrapText="1"/>
    </xf>
    <xf numFmtId="0" fontId="11" fillId="2" borderId="21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11" fillId="2" borderId="43" xfId="0" quotePrefix="1" applyFont="1" applyFill="1" applyBorder="1" applyAlignment="1">
      <alignment horizontal="center" vertical="center" wrapText="1"/>
    </xf>
    <xf numFmtId="0" fontId="11" fillId="2" borderId="39" xfId="0" quotePrefix="1" applyFont="1" applyFill="1" applyBorder="1" applyAlignment="1">
      <alignment horizontal="center" vertical="center" wrapText="1"/>
    </xf>
    <xf numFmtId="0" fontId="11" fillId="2" borderId="41" xfId="0" quotePrefix="1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61" xfId="0" quotePrefix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6" xfId="0" applyFont="1" applyFill="1" applyBorder="1" applyAlignment="1">
      <alignment horizontal="center" vertical="center" wrapText="1"/>
    </xf>
    <xf numFmtId="0" fontId="5" fillId="2" borderId="9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1" fillId="0" borderId="110" xfId="0" applyFont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shrinkToFit="1"/>
    </xf>
    <xf numFmtId="0" fontId="12" fillId="10" borderId="6" xfId="0" applyFont="1" applyFill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1" fillId="0" borderId="18" xfId="0" applyNumberFormat="1" applyFont="1" applyBorder="1" applyAlignment="1">
      <alignment horizontal="center" vertical="center" shrinkToFit="1"/>
    </xf>
    <xf numFmtId="49" fontId="11" fillId="0" borderId="22" xfId="0" applyNumberFormat="1" applyFont="1" applyBorder="1" applyAlignment="1">
      <alignment horizontal="center" vertical="center" shrinkToFit="1"/>
    </xf>
    <xf numFmtId="49" fontId="11" fillId="0" borderId="16" xfId="0" applyNumberFormat="1" applyFont="1" applyBorder="1" applyAlignment="1">
      <alignment horizontal="center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1" fillId="0" borderId="113" xfId="0" applyFont="1" applyBorder="1" applyAlignment="1">
      <alignment horizontal="center" vertical="center" wrapText="1"/>
    </xf>
    <xf numFmtId="0" fontId="11" fillId="0" borderId="113" xfId="0" quotePrefix="1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78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1" fillId="2" borderId="114" xfId="0" applyFont="1" applyFill="1" applyBorder="1" applyAlignment="1">
      <alignment horizontal="center" vertical="center" wrapText="1"/>
    </xf>
    <xf numFmtId="0" fontId="11" fillId="0" borderId="115" xfId="0" applyFont="1" applyBorder="1" applyAlignment="1">
      <alignment horizontal="center" vertical="center" wrapText="1"/>
    </xf>
    <xf numFmtId="0" fontId="11" fillId="2" borderId="97" xfId="0" applyFont="1" applyFill="1" applyBorder="1" applyAlignment="1">
      <alignment horizontal="center" vertical="center" wrapText="1"/>
    </xf>
    <xf numFmtId="0" fontId="11" fillId="2" borderId="110" xfId="0" applyFont="1" applyFill="1" applyBorder="1" applyAlignment="1">
      <alignment horizontal="center" vertical="center" wrapText="1"/>
    </xf>
    <xf numFmtId="0" fontId="11" fillId="2" borderId="113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114" xfId="0" applyFont="1" applyBorder="1" applyAlignment="1">
      <alignment horizontal="center" vertical="center" wrapText="1"/>
    </xf>
    <xf numFmtId="0" fontId="11" fillId="0" borderId="110" xfId="0" quotePrefix="1" applyFont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11" fillId="2" borderId="78" xfId="0" applyFont="1" applyFill="1" applyBorder="1" applyAlignment="1">
      <alignment horizontal="center" vertical="center" wrapText="1"/>
    </xf>
    <xf numFmtId="0" fontId="11" fillId="2" borderId="76" xfId="0" applyFont="1" applyFill="1" applyBorder="1" applyAlignment="1">
      <alignment horizontal="center" vertical="center" wrapText="1"/>
    </xf>
    <xf numFmtId="0" fontId="11" fillId="2" borderId="54" xfId="0" applyFont="1" applyFill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116" xfId="0" applyFont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left" vertical="top" wrapText="1"/>
    </xf>
    <xf numFmtId="0" fontId="11" fillId="3" borderId="88" xfId="0" applyFont="1" applyFill="1" applyBorder="1" applyAlignment="1">
      <alignment horizontal="left" vertical="top"/>
    </xf>
    <xf numFmtId="0" fontId="11" fillId="3" borderId="89" xfId="0" applyFont="1" applyFill="1" applyBorder="1" applyAlignment="1">
      <alignment horizontal="left" vertical="top"/>
    </xf>
    <xf numFmtId="0" fontId="11" fillId="3" borderId="73" xfId="0" applyFont="1" applyFill="1" applyBorder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11" fillId="3" borderId="90" xfId="0" applyFont="1" applyFill="1" applyBorder="1" applyAlignment="1">
      <alignment horizontal="left" vertical="top"/>
    </xf>
    <xf numFmtId="0" fontId="11" fillId="3" borderId="68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horizontal="left" vertical="top"/>
    </xf>
    <xf numFmtId="0" fontId="11" fillId="3" borderId="33" xfId="0" applyFont="1" applyFill="1" applyBorder="1" applyAlignment="1">
      <alignment horizontal="left" vertical="top"/>
    </xf>
    <xf numFmtId="0" fontId="3" fillId="3" borderId="76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3" borderId="1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105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94" xfId="0" applyFont="1" applyBorder="1" applyAlignment="1">
      <alignment horizontal="center" vertical="center" wrapText="1"/>
    </xf>
    <xf numFmtId="0" fontId="11" fillId="0" borderId="95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 wrapText="1"/>
    </xf>
    <xf numFmtId="0" fontId="11" fillId="0" borderId="104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7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1" fillId="0" borderId="1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" fillId="0" borderId="108" xfId="0" applyFont="1" applyBorder="1" applyAlignment="1">
      <alignment horizontal="center" vertical="center" wrapText="1"/>
    </xf>
    <xf numFmtId="0" fontId="11" fillId="4" borderId="56" xfId="0" applyFont="1" applyFill="1" applyBorder="1" applyAlignment="1">
      <alignment horizontal="center" vertical="center" wrapText="1"/>
    </xf>
    <xf numFmtId="0" fontId="11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02" xfId="0" applyFont="1" applyBorder="1" applyAlignment="1">
      <alignment horizontal="center" vertical="center" wrapText="1"/>
    </xf>
  </cellXfs>
  <cellStyles count="1">
    <cellStyle name="표준" xfId="0" builtinId="0"/>
  </cellStyles>
  <dxfs count="49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48"/>
    </tableStyle>
    <tableStyle name="표 스타일 2" pivot="0" count="1" xr9:uid="{00000000-0011-0000-FFFF-FFFF01000000}">
      <tableStyleElement type="lastColumn" dxfId="47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6:H98" headerRowCount="0" totalsRowShown="0" headerRowDxfId="46" dataDxfId="45" tableBorderDxfId="44">
  <tableColumns count="4">
    <tableColumn id="1" xr3:uid="{00000000-0010-0000-0000-000001000000}" name="기준_x000a_학점" headerRowDxfId="43" dataDxfId="42">
      <calculatedColumnFormula>IFERROR(VLOOKUP(D7, 기본학점, 2, FALSE), "")</calculatedColumnFormula>
    </tableColumn>
    <tableColumn id="2" xr3:uid="{00000000-0010-0000-0000-000002000000}" name="운영_x000a_학점" headerRowDxfId="41" dataDxfId="40"/>
    <tableColumn id="3" xr3:uid="{82C667D2-710B-40AD-A5FC-293A4124AE88}" name="세로 막대형1" headerRowDxfId="39" dataDxfId="38"/>
    <tableColumn id="4" xr3:uid="{687CF4F7-8CF6-4E3F-B81A-62A0DFBA5DFD}" name="세로 막대형2" headerRowDxfId="37" dataDxfId="3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12"/>
  <sheetViews>
    <sheetView tabSelected="1" zoomScaleNormal="100" zoomScaleSheetLayoutView="100" workbookViewId="0">
      <selection sqref="A1:P1"/>
    </sheetView>
  </sheetViews>
  <sheetFormatPr defaultRowHeight="14.4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992187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9765625" customWidth="1"/>
    <col min="252" max="259" width="5.796875" customWidth="1"/>
    <col min="260" max="260" width="7.09765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9765625" customWidth="1"/>
    <col min="508" max="515" width="5.796875" customWidth="1"/>
    <col min="516" max="516" width="7.09765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9765625" customWidth="1"/>
    <col min="764" max="771" width="5.796875" customWidth="1"/>
    <col min="772" max="772" width="7.09765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9765625" customWidth="1"/>
    <col min="1020" max="1027" width="5.796875" customWidth="1"/>
    <col min="1028" max="1028" width="7.09765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9765625" customWidth="1"/>
    <col min="1276" max="1283" width="5.796875" customWidth="1"/>
    <col min="1284" max="1284" width="7.09765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9765625" customWidth="1"/>
    <col min="1532" max="1539" width="5.796875" customWidth="1"/>
    <col min="1540" max="1540" width="7.09765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9765625" customWidth="1"/>
    <col min="1788" max="1795" width="5.796875" customWidth="1"/>
    <col min="1796" max="1796" width="7.09765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9765625" customWidth="1"/>
    <col min="2044" max="2051" width="5.796875" customWidth="1"/>
    <col min="2052" max="2052" width="7.09765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9765625" customWidth="1"/>
    <col min="2300" max="2307" width="5.796875" customWidth="1"/>
    <col min="2308" max="2308" width="7.09765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9765625" customWidth="1"/>
    <col min="2556" max="2563" width="5.796875" customWidth="1"/>
    <col min="2564" max="2564" width="7.09765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9765625" customWidth="1"/>
    <col min="2812" max="2819" width="5.796875" customWidth="1"/>
    <col min="2820" max="2820" width="7.09765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9765625" customWidth="1"/>
    <col min="3068" max="3075" width="5.796875" customWidth="1"/>
    <col min="3076" max="3076" width="7.09765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9765625" customWidth="1"/>
    <col min="3324" max="3331" width="5.796875" customWidth="1"/>
    <col min="3332" max="3332" width="7.09765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9765625" customWidth="1"/>
    <col min="3580" max="3587" width="5.796875" customWidth="1"/>
    <col min="3588" max="3588" width="7.09765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9765625" customWidth="1"/>
    <col min="3836" max="3843" width="5.796875" customWidth="1"/>
    <col min="3844" max="3844" width="7.09765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9765625" customWidth="1"/>
    <col min="4092" max="4099" width="5.796875" customWidth="1"/>
    <col min="4100" max="4100" width="7.09765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9765625" customWidth="1"/>
    <col min="4348" max="4355" width="5.796875" customWidth="1"/>
    <col min="4356" max="4356" width="7.09765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9765625" customWidth="1"/>
    <col min="4604" max="4611" width="5.796875" customWidth="1"/>
    <col min="4612" max="4612" width="7.09765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9765625" customWidth="1"/>
    <col min="4860" max="4867" width="5.796875" customWidth="1"/>
    <col min="4868" max="4868" width="7.09765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9765625" customWidth="1"/>
    <col min="5116" max="5123" width="5.796875" customWidth="1"/>
    <col min="5124" max="5124" width="7.09765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9765625" customWidth="1"/>
    <col min="5372" max="5379" width="5.796875" customWidth="1"/>
    <col min="5380" max="5380" width="7.09765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9765625" customWidth="1"/>
    <col min="5628" max="5635" width="5.796875" customWidth="1"/>
    <col min="5636" max="5636" width="7.09765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9765625" customWidth="1"/>
    <col min="5884" max="5891" width="5.796875" customWidth="1"/>
    <col min="5892" max="5892" width="7.09765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9765625" customWidth="1"/>
    <col min="6140" max="6147" width="5.796875" customWidth="1"/>
    <col min="6148" max="6148" width="7.09765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9765625" customWidth="1"/>
    <col min="6396" max="6403" width="5.796875" customWidth="1"/>
    <col min="6404" max="6404" width="7.09765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9765625" customWidth="1"/>
    <col min="6652" max="6659" width="5.796875" customWidth="1"/>
    <col min="6660" max="6660" width="7.09765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9765625" customWidth="1"/>
    <col min="6908" max="6915" width="5.796875" customWidth="1"/>
    <col min="6916" max="6916" width="7.09765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9765625" customWidth="1"/>
    <col min="7164" max="7171" width="5.796875" customWidth="1"/>
    <col min="7172" max="7172" width="7.09765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9765625" customWidth="1"/>
    <col min="7420" max="7427" width="5.796875" customWidth="1"/>
    <col min="7428" max="7428" width="7.09765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9765625" customWidth="1"/>
    <col min="7676" max="7683" width="5.796875" customWidth="1"/>
    <col min="7684" max="7684" width="7.09765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9765625" customWidth="1"/>
    <col min="7932" max="7939" width="5.796875" customWidth="1"/>
    <col min="7940" max="7940" width="7.09765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9765625" customWidth="1"/>
    <col min="8188" max="8195" width="5.796875" customWidth="1"/>
    <col min="8196" max="8196" width="7.09765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9765625" customWidth="1"/>
    <col min="8444" max="8451" width="5.796875" customWidth="1"/>
    <col min="8452" max="8452" width="7.09765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9765625" customWidth="1"/>
    <col min="8700" max="8707" width="5.796875" customWidth="1"/>
    <col min="8708" max="8708" width="7.09765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9765625" customWidth="1"/>
    <col min="8956" max="8963" width="5.796875" customWidth="1"/>
    <col min="8964" max="8964" width="7.09765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9765625" customWidth="1"/>
    <col min="9212" max="9219" width="5.796875" customWidth="1"/>
    <col min="9220" max="9220" width="7.09765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9765625" customWidth="1"/>
    <col min="9468" max="9475" width="5.796875" customWidth="1"/>
    <col min="9476" max="9476" width="7.09765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9765625" customWidth="1"/>
    <col min="9724" max="9731" width="5.796875" customWidth="1"/>
    <col min="9732" max="9732" width="7.09765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9765625" customWidth="1"/>
    <col min="9980" max="9987" width="5.796875" customWidth="1"/>
    <col min="9988" max="9988" width="7.09765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9765625" customWidth="1"/>
    <col min="10236" max="10243" width="5.796875" customWidth="1"/>
    <col min="10244" max="10244" width="7.09765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9765625" customWidth="1"/>
    <col min="10492" max="10499" width="5.796875" customWidth="1"/>
    <col min="10500" max="10500" width="7.09765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9765625" customWidth="1"/>
    <col min="10748" max="10755" width="5.796875" customWidth="1"/>
    <col min="10756" max="10756" width="7.09765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9765625" customWidth="1"/>
    <col min="11004" max="11011" width="5.796875" customWidth="1"/>
    <col min="11012" max="11012" width="7.09765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9765625" customWidth="1"/>
    <col min="11260" max="11267" width="5.796875" customWidth="1"/>
    <col min="11268" max="11268" width="7.09765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9765625" customWidth="1"/>
    <col min="11516" max="11523" width="5.796875" customWidth="1"/>
    <col min="11524" max="11524" width="7.09765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9765625" customWidth="1"/>
    <col min="11772" max="11779" width="5.796875" customWidth="1"/>
    <col min="11780" max="11780" width="7.09765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9765625" customWidth="1"/>
    <col min="12028" max="12035" width="5.796875" customWidth="1"/>
    <col min="12036" max="12036" width="7.09765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9765625" customWidth="1"/>
    <col min="12284" max="12291" width="5.796875" customWidth="1"/>
    <col min="12292" max="12292" width="7.09765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9765625" customWidth="1"/>
    <col min="12540" max="12547" width="5.796875" customWidth="1"/>
    <col min="12548" max="12548" width="7.09765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9765625" customWidth="1"/>
    <col min="12796" max="12803" width="5.796875" customWidth="1"/>
    <col min="12804" max="12804" width="7.09765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9765625" customWidth="1"/>
    <col min="13052" max="13059" width="5.796875" customWidth="1"/>
    <col min="13060" max="13060" width="7.09765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9765625" customWidth="1"/>
    <col min="13308" max="13315" width="5.796875" customWidth="1"/>
    <col min="13316" max="13316" width="7.09765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9765625" customWidth="1"/>
    <col min="13564" max="13571" width="5.796875" customWidth="1"/>
    <col min="13572" max="13572" width="7.09765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9765625" customWidth="1"/>
    <col min="13820" max="13827" width="5.796875" customWidth="1"/>
    <col min="13828" max="13828" width="7.09765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9765625" customWidth="1"/>
    <col min="14076" max="14083" width="5.796875" customWidth="1"/>
    <col min="14084" max="14084" width="7.09765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9765625" customWidth="1"/>
    <col min="14332" max="14339" width="5.796875" customWidth="1"/>
    <col min="14340" max="14340" width="7.09765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9765625" customWidth="1"/>
    <col min="14588" max="14595" width="5.796875" customWidth="1"/>
    <col min="14596" max="14596" width="7.09765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9765625" customWidth="1"/>
    <col min="14844" max="14851" width="5.796875" customWidth="1"/>
    <col min="14852" max="14852" width="7.09765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9765625" customWidth="1"/>
    <col min="15100" max="15107" width="5.796875" customWidth="1"/>
    <col min="15108" max="15108" width="7.09765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9765625" customWidth="1"/>
    <col min="15356" max="15363" width="5.796875" customWidth="1"/>
    <col min="15364" max="15364" width="7.09765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9765625" customWidth="1"/>
    <col min="15612" max="15619" width="5.796875" customWidth="1"/>
    <col min="15620" max="15620" width="7.09765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9765625" customWidth="1"/>
    <col min="15868" max="15875" width="5.796875" customWidth="1"/>
    <col min="15876" max="15876" width="7.09765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9765625" customWidth="1"/>
    <col min="16124" max="16131" width="5.796875" customWidth="1"/>
    <col min="16132" max="16132" width="7.09765625" customWidth="1"/>
    <col min="16133" max="16134" width="5.796875" customWidth="1"/>
    <col min="16135" max="16135" width="6" customWidth="1"/>
  </cols>
  <sheetData>
    <row r="1" spans="1:16" ht="47.25" customHeight="1">
      <c r="A1" s="280" t="s">
        <v>312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</row>
    <row r="2" spans="1:16" ht="29.25" customHeight="1" thickBot="1">
      <c r="A2" s="237" t="s">
        <v>316</v>
      </c>
      <c r="B2" s="237"/>
      <c r="C2" s="237"/>
      <c r="D2" s="237"/>
      <c r="E2" s="184"/>
      <c r="F2" s="3"/>
      <c r="G2" s="2"/>
      <c r="H2" s="2"/>
      <c r="I2" s="2"/>
      <c r="J2" s="2"/>
      <c r="K2" s="292"/>
      <c r="L2" s="292"/>
      <c r="M2" s="293"/>
      <c r="N2" s="293"/>
      <c r="O2" s="293"/>
      <c r="P2" s="293"/>
    </row>
    <row r="3" spans="1:16" ht="16.5" customHeight="1">
      <c r="A3" s="281" t="s">
        <v>11</v>
      </c>
      <c r="B3" s="284" t="s">
        <v>3</v>
      </c>
      <c r="C3" s="241" t="s">
        <v>260</v>
      </c>
      <c r="D3" s="241" t="s">
        <v>257</v>
      </c>
      <c r="E3" s="241" t="s">
        <v>259</v>
      </c>
      <c r="F3" s="241" t="s">
        <v>21</v>
      </c>
      <c r="G3" s="290" t="s">
        <v>4</v>
      </c>
      <c r="H3" s="291"/>
      <c r="I3" s="290" t="s">
        <v>0</v>
      </c>
      <c r="J3" s="291"/>
      <c r="K3" s="290" t="s">
        <v>1</v>
      </c>
      <c r="L3" s="291"/>
      <c r="M3" s="241" t="s">
        <v>244</v>
      </c>
      <c r="N3" s="277" t="s">
        <v>243</v>
      </c>
      <c r="O3" s="241" t="s">
        <v>22</v>
      </c>
      <c r="P3" s="287" t="s">
        <v>23</v>
      </c>
    </row>
    <row r="4" spans="1:16" ht="14.4" customHeight="1">
      <c r="A4" s="282"/>
      <c r="B4" s="285"/>
      <c r="C4" s="242"/>
      <c r="D4" s="242"/>
      <c r="E4" s="242"/>
      <c r="F4" s="242"/>
      <c r="G4" s="275" t="s">
        <v>2</v>
      </c>
      <c r="H4" s="270" t="s">
        <v>13</v>
      </c>
      <c r="I4" s="275" t="s">
        <v>2</v>
      </c>
      <c r="J4" s="270" t="s">
        <v>13</v>
      </c>
      <c r="K4" s="275" t="s">
        <v>2</v>
      </c>
      <c r="L4" s="270" t="s">
        <v>13</v>
      </c>
      <c r="M4" s="242"/>
      <c r="N4" s="278"/>
      <c r="O4" s="242"/>
      <c r="P4" s="288"/>
    </row>
    <row r="5" spans="1:16" ht="14.4" customHeight="1" thickBot="1">
      <c r="A5" s="283"/>
      <c r="B5" s="286"/>
      <c r="C5" s="243"/>
      <c r="D5" s="243"/>
      <c r="E5" s="243"/>
      <c r="F5" s="243"/>
      <c r="G5" s="276"/>
      <c r="H5" s="271"/>
      <c r="I5" s="276"/>
      <c r="J5" s="271"/>
      <c r="K5" s="276"/>
      <c r="L5" s="271"/>
      <c r="M5" s="243"/>
      <c r="N5" s="279"/>
      <c r="O5" s="243"/>
      <c r="P5" s="289"/>
    </row>
    <row r="6" spans="1:16" ht="15.6" customHeight="1">
      <c r="A6" s="244" t="s">
        <v>14</v>
      </c>
      <c r="B6" s="238" t="s">
        <v>258</v>
      </c>
      <c r="C6" s="114" t="s">
        <v>262</v>
      </c>
      <c r="D6" s="190" t="s">
        <v>26</v>
      </c>
      <c r="E6" s="119">
        <f t="shared" ref="E6:E39" si="0">IFERROR(VLOOKUP(D6, 기본학점, 2, FALSE), "")</f>
        <v>4</v>
      </c>
      <c r="F6" s="120">
        <v>4</v>
      </c>
      <c r="G6" s="215">
        <v>4</v>
      </c>
      <c r="H6" s="216"/>
      <c r="I6" s="76"/>
      <c r="J6" s="75"/>
      <c r="K6" s="76"/>
      <c r="L6" s="77"/>
      <c r="M6" s="189"/>
      <c r="N6" s="169"/>
      <c r="O6" s="294">
        <f>SUM(F6:F10)</f>
        <v>19</v>
      </c>
      <c r="P6" s="297">
        <v>8</v>
      </c>
    </row>
    <row r="7" spans="1:16" ht="15.6" customHeight="1">
      <c r="A7" s="245"/>
      <c r="B7" s="239"/>
      <c r="C7" s="219" t="s">
        <v>262</v>
      </c>
      <c r="D7" s="193" t="s">
        <v>30</v>
      </c>
      <c r="E7" s="208">
        <f>IFERROR(VLOOKUP(D7, 기본학점, 2, FALSE), "")</f>
        <v>4</v>
      </c>
      <c r="F7" s="163">
        <v>4</v>
      </c>
      <c r="G7" s="138"/>
      <c r="H7" s="143">
        <v>4</v>
      </c>
      <c r="I7" s="79"/>
      <c r="J7" s="78"/>
      <c r="K7" s="79"/>
      <c r="L7" s="80"/>
      <c r="M7" s="192"/>
      <c r="N7" s="169"/>
      <c r="O7" s="295"/>
      <c r="P7" s="274"/>
    </row>
    <row r="8" spans="1:16" ht="15.6" customHeight="1">
      <c r="A8" s="245"/>
      <c r="B8" s="239"/>
      <c r="C8" s="219" t="s">
        <v>263</v>
      </c>
      <c r="D8" s="193" t="s">
        <v>29</v>
      </c>
      <c r="E8" s="208">
        <f>IFERROR(VLOOKUP(D8, 기본학점, 2, FALSE), "")</f>
        <v>4</v>
      </c>
      <c r="F8" s="163">
        <v>4</v>
      </c>
      <c r="G8" s="138"/>
      <c r="H8" s="143"/>
      <c r="I8" s="79">
        <v>4</v>
      </c>
      <c r="J8" s="78"/>
      <c r="K8" s="79"/>
      <c r="L8" s="80"/>
      <c r="M8" s="192"/>
      <c r="N8" s="169"/>
      <c r="O8" s="295"/>
      <c r="P8" s="274"/>
    </row>
    <row r="9" spans="1:16" ht="15.6" customHeight="1">
      <c r="A9" s="245"/>
      <c r="B9" s="239"/>
      <c r="C9" s="219" t="s">
        <v>263</v>
      </c>
      <c r="D9" s="193" t="s">
        <v>264</v>
      </c>
      <c r="E9" s="208">
        <f>IFERROR(VLOOKUP(D9, 기본학점, 2, FALSE), "")</f>
        <v>4</v>
      </c>
      <c r="F9" s="163">
        <v>4</v>
      </c>
      <c r="G9" s="138"/>
      <c r="H9" s="143"/>
      <c r="I9" s="79"/>
      <c r="J9" s="78">
        <v>4</v>
      </c>
      <c r="K9" s="79"/>
      <c r="L9" s="80"/>
      <c r="M9" s="192"/>
      <c r="N9" s="169"/>
      <c r="O9" s="295"/>
      <c r="P9" s="274"/>
    </row>
    <row r="10" spans="1:16" ht="15.6" customHeight="1">
      <c r="A10" s="245"/>
      <c r="B10" s="240"/>
      <c r="C10" s="113" t="s">
        <v>263</v>
      </c>
      <c r="D10" s="193" t="s">
        <v>265</v>
      </c>
      <c r="E10" s="159">
        <f t="shared" si="0"/>
        <v>4</v>
      </c>
      <c r="F10" s="126">
        <v>3</v>
      </c>
      <c r="G10" s="136"/>
      <c r="H10" s="146"/>
      <c r="I10" s="88"/>
      <c r="J10" s="89"/>
      <c r="K10" s="88">
        <v>3</v>
      </c>
      <c r="L10" s="77"/>
      <c r="M10" s="189"/>
      <c r="N10" s="170"/>
      <c r="O10" s="296"/>
      <c r="P10" s="273"/>
    </row>
    <row r="11" spans="1:16" ht="15.6" customHeight="1">
      <c r="A11" s="245"/>
      <c r="B11" s="246" t="s">
        <v>7</v>
      </c>
      <c r="C11" s="81" t="s">
        <v>262</v>
      </c>
      <c r="D11" s="196" t="s">
        <v>27</v>
      </c>
      <c r="E11" s="220">
        <f t="shared" si="0"/>
        <v>4</v>
      </c>
      <c r="F11" s="158">
        <v>4</v>
      </c>
      <c r="G11" s="122">
        <v>4</v>
      </c>
      <c r="H11" s="144"/>
      <c r="I11" s="83"/>
      <c r="J11" s="82"/>
      <c r="K11" s="122"/>
      <c r="L11" s="144"/>
      <c r="M11" s="197"/>
      <c r="N11" s="171"/>
      <c r="O11" s="299">
        <f>SUM(F11:F15)</f>
        <v>20</v>
      </c>
      <c r="P11" s="272">
        <v>8</v>
      </c>
    </row>
    <row r="12" spans="1:16" ht="15.6" customHeight="1">
      <c r="A12" s="245"/>
      <c r="B12" s="239"/>
      <c r="C12" s="157" t="s">
        <v>262</v>
      </c>
      <c r="D12" s="193" t="s">
        <v>33</v>
      </c>
      <c r="E12" s="208">
        <f t="shared" si="0"/>
        <v>4</v>
      </c>
      <c r="F12" s="183">
        <v>4</v>
      </c>
      <c r="G12" s="125"/>
      <c r="H12" s="143">
        <v>4</v>
      </c>
      <c r="I12" s="79"/>
      <c r="J12" s="78"/>
      <c r="K12" s="125"/>
      <c r="L12" s="143"/>
      <c r="M12" s="192"/>
      <c r="N12" s="169"/>
      <c r="O12" s="299"/>
      <c r="P12" s="274"/>
    </row>
    <row r="13" spans="1:16" ht="15.6" customHeight="1">
      <c r="A13" s="245"/>
      <c r="B13" s="239"/>
      <c r="C13" s="157" t="s">
        <v>263</v>
      </c>
      <c r="D13" s="193" t="s">
        <v>266</v>
      </c>
      <c r="E13" s="208">
        <f>IFERROR(VLOOKUP(D13, 기본학점, 2, FALSE), "")</f>
        <v>4</v>
      </c>
      <c r="F13" s="163">
        <v>4</v>
      </c>
      <c r="G13" s="125"/>
      <c r="H13" s="143"/>
      <c r="I13" s="79">
        <v>4</v>
      </c>
      <c r="J13" s="78"/>
      <c r="K13" s="125"/>
      <c r="L13" s="143"/>
      <c r="M13" s="192"/>
      <c r="N13" s="169"/>
      <c r="O13" s="299"/>
      <c r="P13" s="274"/>
    </row>
    <row r="14" spans="1:16" ht="15.6" customHeight="1">
      <c r="A14" s="245"/>
      <c r="B14" s="239"/>
      <c r="C14" s="157" t="s">
        <v>263</v>
      </c>
      <c r="D14" s="193" t="s">
        <v>267</v>
      </c>
      <c r="E14" s="208">
        <f>IFERROR(VLOOKUP(D14, 기본학점, 2, FALSE), "")</f>
        <v>4</v>
      </c>
      <c r="F14" s="163">
        <v>4</v>
      </c>
      <c r="G14" s="125"/>
      <c r="H14" s="143"/>
      <c r="I14" s="79"/>
      <c r="J14" s="78">
        <v>4</v>
      </c>
      <c r="K14" s="125"/>
      <c r="L14" s="143"/>
      <c r="M14" s="192"/>
      <c r="N14" s="169"/>
      <c r="O14" s="299"/>
      <c r="P14" s="274"/>
    </row>
    <row r="15" spans="1:16" ht="15.6" customHeight="1">
      <c r="A15" s="245"/>
      <c r="B15" s="240"/>
      <c r="C15" s="113" t="s">
        <v>263</v>
      </c>
      <c r="D15" s="198" t="s">
        <v>34</v>
      </c>
      <c r="E15" s="159">
        <f t="shared" si="0"/>
        <v>4</v>
      </c>
      <c r="F15" s="160">
        <v>4</v>
      </c>
      <c r="G15" s="124"/>
      <c r="H15" s="145"/>
      <c r="I15" s="86"/>
      <c r="J15" s="85"/>
      <c r="K15" s="86">
        <v>4</v>
      </c>
      <c r="L15" s="85"/>
      <c r="M15" s="194"/>
      <c r="N15" s="113"/>
      <c r="O15" s="300"/>
      <c r="P15" s="274"/>
    </row>
    <row r="16" spans="1:16" ht="15.6" customHeight="1">
      <c r="A16" s="245"/>
      <c r="B16" s="246" t="s">
        <v>16</v>
      </c>
      <c r="C16" s="81" t="s">
        <v>262</v>
      </c>
      <c r="D16" s="196" t="s">
        <v>28</v>
      </c>
      <c r="E16" s="220">
        <f t="shared" si="0"/>
        <v>4</v>
      </c>
      <c r="F16" s="161">
        <v>3</v>
      </c>
      <c r="G16" s="137">
        <v>3</v>
      </c>
      <c r="H16" s="144"/>
      <c r="I16" s="83"/>
      <c r="J16" s="82"/>
      <c r="K16" s="83"/>
      <c r="L16" s="82"/>
      <c r="M16" s="197"/>
      <c r="N16" s="171"/>
      <c r="O16" s="298">
        <f>SUM(F16:F20)</f>
        <v>17</v>
      </c>
      <c r="P16" s="272">
        <v>8</v>
      </c>
    </row>
    <row r="17" spans="1:20" ht="15.6" customHeight="1">
      <c r="A17" s="245"/>
      <c r="B17" s="239"/>
      <c r="C17" s="157" t="s">
        <v>262</v>
      </c>
      <c r="D17" s="193" t="s">
        <v>39</v>
      </c>
      <c r="E17" s="208">
        <f>IFERROR(VLOOKUP(D17, 기본학점, 2, FALSE), "")</f>
        <v>4</v>
      </c>
      <c r="F17" s="163">
        <v>3</v>
      </c>
      <c r="G17" s="138"/>
      <c r="H17" s="143">
        <v>3</v>
      </c>
      <c r="I17" s="79"/>
      <c r="J17" s="78"/>
      <c r="K17" s="79"/>
      <c r="L17" s="78"/>
      <c r="M17" s="192"/>
      <c r="N17" s="169"/>
      <c r="O17" s="299"/>
      <c r="P17" s="274"/>
    </row>
    <row r="18" spans="1:20" ht="15.6" customHeight="1">
      <c r="A18" s="245"/>
      <c r="B18" s="239"/>
      <c r="C18" s="157" t="s">
        <v>263</v>
      </c>
      <c r="D18" s="193" t="s">
        <v>268</v>
      </c>
      <c r="E18" s="208">
        <f>IFERROR(VLOOKUP(D18, 기본학점, 2, FALSE), "")</f>
        <v>4</v>
      </c>
      <c r="F18" s="163">
        <v>4</v>
      </c>
      <c r="G18" s="138"/>
      <c r="H18" s="143"/>
      <c r="I18" s="79">
        <v>4</v>
      </c>
      <c r="J18" s="78"/>
      <c r="K18" s="79"/>
      <c r="L18" s="78"/>
      <c r="M18" s="192"/>
      <c r="N18" s="169"/>
      <c r="O18" s="299"/>
      <c r="P18" s="274"/>
    </row>
    <row r="19" spans="1:20" ht="15.6" customHeight="1">
      <c r="A19" s="245"/>
      <c r="B19" s="239"/>
      <c r="C19" s="157" t="s">
        <v>263</v>
      </c>
      <c r="D19" s="193" t="s">
        <v>269</v>
      </c>
      <c r="E19" s="208">
        <f>IFERROR(VLOOKUP(D19, 기본학점, 2, FALSE), "")</f>
        <v>4</v>
      </c>
      <c r="F19" s="163">
        <v>4</v>
      </c>
      <c r="G19" s="138"/>
      <c r="H19" s="143"/>
      <c r="I19" s="79"/>
      <c r="J19" s="78">
        <v>4</v>
      </c>
      <c r="K19" s="79"/>
      <c r="L19" s="78"/>
      <c r="M19" s="192"/>
      <c r="N19" s="169"/>
      <c r="O19" s="299"/>
      <c r="P19" s="274"/>
    </row>
    <row r="20" spans="1:20" ht="15.6" customHeight="1">
      <c r="A20" s="245"/>
      <c r="B20" s="240"/>
      <c r="C20" s="113" t="s">
        <v>263</v>
      </c>
      <c r="D20" s="194" t="s">
        <v>40</v>
      </c>
      <c r="E20" s="159">
        <f t="shared" si="0"/>
        <v>4</v>
      </c>
      <c r="F20" s="126">
        <v>3</v>
      </c>
      <c r="G20" s="205"/>
      <c r="H20" s="206"/>
      <c r="I20" s="90"/>
      <c r="J20" s="91"/>
      <c r="K20" s="90">
        <v>3</v>
      </c>
      <c r="L20" s="91"/>
      <c r="M20" s="194"/>
      <c r="N20" s="113"/>
      <c r="O20" s="299"/>
      <c r="P20" s="273"/>
    </row>
    <row r="21" spans="1:20" ht="15.6" customHeight="1">
      <c r="A21" s="245"/>
      <c r="B21" s="246" t="s">
        <v>185</v>
      </c>
      <c r="C21" s="117" t="s">
        <v>262</v>
      </c>
      <c r="D21" s="196" t="s">
        <v>270</v>
      </c>
      <c r="E21" s="220">
        <f t="shared" si="0"/>
        <v>3</v>
      </c>
      <c r="F21" s="161">
        <v>3</v>
      </c>
      <c r="G21" s="137">
        <v>3</v>
      </c>
      <c r="H21" s="144"/>
      <c r="I21" s="83"/>
      <c r="J21" s="82"/>
      <c r="K21" s="83"/>
      <c r="L21" s="84"/>
      <c r="M21" s="197"/>
      <c r="N21" s="171"/>
      <c r="O21" s="298">
        <f>SUM(F21:F22)</f>
        <v>6</v>
      </c>
      <c r="P21" s="272">
        <v>6</v>
      </c>
    </row>
    <row r="22" spans="1:20" ht="15.6" customHeight="1">
      <c r="A22" s="245"/>
      <c r="B22" s="239"/>
      <c r="C22" s="116" t="s">
        <v>262</v>
      </c>
      <c r="D22" s="198" t="s">
        <v>271</v>
      </c>
      <c r="E22" s="182">
        <f t="shared" si="0"/>
        <v>3</v>
      </c>
      <c r="F22" s="160">
        <v>3</v>
      </c>
      <c r="G22" s="139"/>
      <c r="H22" s="145">
        <v>3</v>
      </c>
      <c r="I22" s="86"/>
      <c r="J22" s="85"/>
      <c r="K22" s="86"/>
      <c r="L22" s="85"/>
      <c r="M22" s="198"/>
      <c r="N22" s="116"/>
      <c r="O22" s="300"/>
      <c r="P22" s="273"/>
    </row>
    <row r="23" spans="1:20" ht="15.6" customHeight="1">
      <c r="A23" s="245"/>
      <c r="B23" s="239"/>
      <c r="C23" s="81" t="s">
        <v>262</v>
      </c>
      <c r="D23" s="196" t="s">
        <v>272</v>
      </c>
      <c r="E23" s="220">
        <f t="shared" si="0"/>
        <v>4</v>
      </c>
      <c r="F23" s="161">
        <v>4</v>
      </c>
      <c r="G23" s="137">
        <v>4</v>
      </c>
      <c r="H23" s="144"/>
      <c r="I23" s="83"/>
      <c r="J23" s="82"/>
      <c r="K23" s="83"/>
      <c r="L23" s="84"/>
      <c r="M23" s="197"/>
      <c r="N23" s="81"/>
      <c r="O23" s="298">
        <f>SUM(F23:F24)</f>
        <v>8</v>
      </c>
      <c r="P23" s="272">
        <v>8</v>
      </c>
    </row>
    <row r="24" spans="1:20" ht="15.6" customHeight="1">
      <c r="A24" s="245"/>
      <c r="B24" s="240"/>
      <c r="C24" s="116" t="s">
        <v>262</v>
      </c>
      <c r="D24" s="198" t="s">
        <v>273</v>
      </c>
      <c r="E24" s="182">
        <f t="shared" si="0"/>
        <v>4</v>
      </c>
      <c r="F24" s="160">
        <v>4</v>
      </c>
      <c r="G24" s="139"/>
      <c r="H24" s="145">
        <v>4</v>
      </c>
      <c r="I24" s="86"/>
      <c r="J24" s="85"/>
      <c r="K24" s="86"/>
      <c r="L24" s="85"/>
      <c r="M24" s="198"/>
      <c r="N24" s="116"/>
      <c r="O24" s="300"/>
      <c r="P24" s="273"/>
    </row>
    <row r="25" spans="1:20" ht="15.6" customHeight="1">
      <c r="A25" s="245"/>
      <c r="B25" s="246" t="s">
        <v>8</v>
      </c>
      <c r="C25" s="81" t="s">
        <v>262</v>
      </c>
      <c r="D25" s="196" t="s">
        <v>274</v>
      </c>
      <c r="E25" s="220">
        <f t="shared" si="0"/>
        <v>4</v>
      </c>
      <c r="F25" s="161">
        <v>4</v>
      </c>
      <c r="G25" s="137">
        <v>4</v>
      </c>
      <c r="H25" s="144"/>
      <c r="I25" s="83"/>
      <c r="J25" s="82"/>
      <c r="K25" s="92"/>
      <c r="L25" s="93"/>
      <c r="M25" s="197"/>
      <c r="N25" s="81"/>
      <c r="O25" s="298">
        <f>SUM(F25:F28)</f>
        <v>10</v>
      </c>
      <c r="P25" s="272">
        <v>10</v>
      </c>
    </row>
    <row r="26" spans="1:20" ht="15.6" customHeight="1">
      <c r="A26" s="245"/>
      <c r="B26" s="239"/>
      <c r="C26" s="115" t="s">
        <v>262</v>
      </c>
      <c r="D26" s="193" t="s">
        <v>275</v>
      </c>
      <c r="E26" s="208">
        <f t="shared" si="0"/>
        <v>4</v>
      </c>
      <c r="F26" s="163">
        <v>4</v>
      </c>
      <c r="G26" s="138"/>
      <c r="H26" s="143">
        <v>4</v>
      </c>
      <c r="I26" s="79"/>
      <c r="J26" s="78"/>
      <c r="K26" s="94"/>
      <c r="L26" s="95"/>
      <c r="M26" s="192"/>
      <c r="N26" s="169"/>
      <c r="O26" s="299"/>
      <c r="P26" s="274"/>
    </row>
    <row r="27" spans="1:20" ht="15.6" customHeight="1">
      <c r="A27" s="245"/>
      <c r="B27" s="239"/>
      <c r="C27" s="157" t="s">
        <v>262</v>
      </c>
      <c r="D27" s="193" t="s">
        <v>276</v>
      </c>
      <c r="E27" s="208">
        <f>IFERROR(VLOOKUP(D27, 기본학점, 2, FALSE), "")</f>
        <v>1</v>
      </c>
      <c r="F27" s="183">
        <v>1</v>
      </c>
      <c r="G27" s="138">
        <v>1</v>
      </c>
      <c r="H27" s="143"/>
      <c r="I27" s="79"/>
      <c r="J27" s="78"/>
      <c r="K27" s="94"/>
      <c r="L27" s="95"/>
      <c r="M27" s="191"/>
      <c r="N27" s="169"/>
      <c r="O27" s="299"/>
      <c r="P27" s="274"/>
    </row>
    <row r="28" spans="1:20" ht="15.6" customHeight="1">
      <c r="A28" s="245"/>
      <c r="B28" s="240"/>
      <c r="C28" s="112" t="s">
        <v>262</v>
      </c>
      <c r="D28" s="198" t="s">
        <v>277</v>
      </c>
      <c r="E28" s="159">
        <f t="shared" si="0"/>
        <v>1</v>
      </c>
      <c r="F28" s="126">
        <v>1</v>
      </c>
      <c r="G28" s="139"/>
      <c r="H28" s="145">
        <v>1</v>
      </c>
      <c r="I28" s="86"/>
      <c r="J28" s="85"/>
      <c r="K28" s="86"/>
      <c r="L28" s="87"/>
      <c r="M28" s="195"/>
      <c r="N28" s="170"/>
      <c r="O28" s="300"/>
      <c r="P28" s="273"/>
      <c r="R28" s="6"/>
      <c r="S28" s="6"/>
      <c r="T28" s="6"/>
    </row>
    <row r="29" spans="1:20" ht="15.6" customHeight="1">
      <c r="A29" s="245"/>
      <c r="B29" s="246" t="s">
        <v>9</v>
      </c>
      <c r="C29" s="81" t="s">
        <v>278</v>
      </c>
      <c r="D29" s="196" t="s">
        <v>279</v>
      </c>
      <c r="E29" s="220">
        <f t="shared" si="0"/>
        <v>2</v>
      </c>
      <c r="F29" s="158">
        <v>1</v>
      </c>
      <c r="G29" s="122">
        <v>1</v>
      </c>
      <c r="H29" s="144"/>
      <c r="I29" s="83"/>
      <c r="J29" s="82"/>
      <c r="K29" s="83"/>
      <c r="L29" s="84"/>
      <c r="M29" s="197"/>
      <c r="N29" s="81"/>
      <c r="O29" s="298">
        <f>SUM(F29:F34)</f>
        <v>10</v>
      </c>
      <c r="P29" s="272">
        <v>10</v>
      </c>
      <c r="R29" s="6"/>
      <c r="S29" s="6"/>
      <c r="T29" s="6"/>
    </row>
    <row r="30" spans="1:20" ht="15.6" customHeight="1">
      <c r="A30" s="245"/>
      <c r="B30" s="239"/>
      <c r="C30" s="157" t="s">
        <v>278</v>
      </c>
      <c r="D30" s="193" t="s">
        <v>280</v>
      </c>
      <c r="E30" s="208">
        <f>IFERROR(VLOOKUP(D30, 기본학점, 2, FALSE), "")</f>
        <v>2</v>
      </c>
      <c r="F30" s="163">
        <v>1</v>
      </c>
      <c r="G30" s="125"/>
      <c r="H30" s="143">
        <v>1</v>
      </c>
      <c r="I30" s="79"/>
      <c r="J30" s="78"/>
      <c r="K30" s="79"/>
      <c r="L30" s="80"/>
      <c r="M30" s="192"/>
      <c r="N30" s="169"/>
      <c r="O30" s="299"/>
      <c r="P30" s="274"/>
      <c r="R30" s="6"/>
      <c r="S30" s="6"/>
      <c r="T30" s="6"/>
    </row>
    <row r="31" spans="1:20" ht="15.6" customHeight="1">
      <c r="A31" s="245"/>
      <c r="B31" s="239"/>
      <c r="C31" s="157" t="s">
        <v>263</v>
      </c>
      <c r="D31" s="193" t="s">
        <v>281</v>
      </c>
      <c r="E31" s="208">
        <f t="shared" si="0"/>
        <v>3</v>
      </c>
      <c r="F31" s="163">
        <v>2</v>
      </c>
      <c r="G31" s="125"/>
      <c r="H31" s="143"/>
      <c r="I31" s="79">
        <v>2</v>
      </c>
      <c r="J31" s="78"/>
      <c r="K31" s="79"/>
      <c r="L31" s="80"/>
      <c r="M31" s="192"/>
      <c r="N31" s="169"/>
      <c r="O31" s="299"/>
      <c r="P31" s="274"/>
      <c r="R31" s="6"/>
      <c r="S31" s="6"/>
      <c r="T31" s="6"/>
    </row>
    <row r="32" spans="1:20" ht="15.6" customHeight="1">
      <c r="A32" s="245"/>
      <c r="B32" s="239"/>
      <c r="C32" s="157" t="s">
        <v>263</v>
      </c>
      <c r="D32" s="193" t="s">
        <v>282</v>
      </c>
      <c r="E32" s="208">
        <f>IFERROR(VLOOKUP(D32, 기본학점, 2, FALSE), "")</f>
        <v>3</v>
      </c>
      <c r="F32" s="163">
        <v>2</v>
      </c>
      <c r="G32" s="125"/>
      <c r="H32" s="143"/>
      <c r="I32" s="79"/>
      <c r="J32" s="78">
        <v>2</v>
      </c>
      <c r="K32" s="79"/>
      <c r="L32" s="80"/>
      <c r="M32" s="192"/>
      <c r="N32" s="169"/>
      <c r="O32" s="299"/>
      <c r="P32" s="274"/>
      <c r="R32" s="6"/>
      <c r="S32" s="6"/>
      <c r="T32" s="6"/>
    </row>
    <row r="33" spans="1:20" ht="15.6" customHeight="1">
      <c r="A33" s="245"/>
      <c r="B33" s="239"/>
      <c r="C33" s="157" t="s">
        <v>283</v>
      </c>
      <c r="D33" s="193" t="s">
        <v>169</v>
      </c>
      <c r="E33" s="208">
        <f t="shared" si="0"/>
        <v>3</v>
      </c>
      <c r="F33" s="163">
        <v>2</v>
      </c>
      <c r="G33" s="138"/>
      <c r="H33" s="143"/>
      <c r="I33" s="79"/>
      <c r="J33" s="78"/>
      <c r="K33" s="79">
        <v>2</v>
      </c>
      <c r="L33" s="80"/>
      <c r="M33" s="192"/>
      <c r="N33" s="169"/>
      <c r="O33" s="299"/>
      <c r="P33" s="274"/>
      <c r="R33" s="6"/>
      <c r="S33" s="6"/>
      <c r="T33" s="6"/>
    </row>
    <row r="34" spans="1:20" ht="15.6" customHeight="1">
      <c r="A34" s="245"/>
      <c r="B34" s="240"/>
      <c r="C34" s="170" t="s">
        <v>283</v>
      </c>
      <c r="D34" s="195" t="s">
        <v>170</v>
      </c>
      <c r="E34" s="159">
        <f t="shared" si="0"/>
        <v>3</v>
      </c>
      <c r="F34" s="162">
        <v>2</v>
      </c>
      <c r="G34" s="139"/>
      <c r="H34" s="145"/>
      <c r="I34" s="86"/>
      <c r="J34" s="87"/>
      <c r="K34" s="86"/>
      <c r="L34" s="87">
        <v>2</v>
      </c>
      <c r="M34" s="195"/>
      <c r="N34" s="170"/>
      <c r="O34" s="300"/>
      <c r="P34" s="273"/>
      <c r="R34" s="6"/>
      <c r="S34" s="6"/>
      <c r="T34" s="6"/>
    </row>
    <row r="35" spans="1:20" ht="15.6" customHeight="1">
      <c r="A35" s="245"/>
      <c r="B35" s="246" t="s">
        <v>10</v>
      </c>
      <c r="C35" s="81" t="s">
        <v>263</v>
      </c>
      <c r="D35" s="196" t="s">
        <v>284</v>
      </c>
      <c r="E35" s="220">
        <f t="shared" si="0"/>
        <v>3</v>
      </c>
      <c r="F35" s="161">
        <v>2</v>
      </c>
      <c r="G35" s="122">
        <v>2</v>
      </c>
      <c r="H35" s="144" t="s">
        <v>313</v>
      </c>
      <c r="I35" s="83"/>
      <c r="J35" s="82"/>
      <c r="K35" s="83"/>
      <c r="L35" s="84"/>
      <c r="M35" s="197" t="s">
        <v>315</v>
      </c>
      <c r="N35" s="81"/>
      <c r="O35" s="298">
        <f>SUM(F35:F38)</f>
        <v>10</v>
      </c>
      <c r="P35" s="272">
        <v>10</v>
      </c>
      <c r="R35" s="6"/>
      <c r="S35" s="6"/>
      <c r="T35" s="6"/>
    </row>
    <row r="36" spans="1:20" ht="15.6" customHeight="1">
      <c r="A36" s="245"/>
      <c r="B36" s="239"/>
      <c r="C36" s="157" t="s">
        <v>263</v>
      </c>
      <c r="D36" s="193" t="s">
        <v>285</v>
      </c>
      <c r="E36" s="208">
        <f t="shared" si="0"/>
        <v>3</v>
      </c>
      <c r="F36" s="163">
        <v>2</v>
      </c>
      <c r="G36" s="125" t="s">
        <v>313</v>
      </c>
      <c r="H36" s="143">
        <v>2</v>
      </c>
      <c r="I36" s="79"/>
      <c r="J36" s="78"/>
      <c r="K36" s="79"/>
      <c r="L36" s="80"/>
      <c r="M36" s="192" t="s">
        <v>315</v>
      </c>
      <c r="N36" s="169"/>
      <c r="O36" s="299"/>
      <c r="P36" s="274"/>
      <c r="R36" s="6"/>
      <c r="S36" s="6"/>
      <c r="T36" s="6"/>
    </row>
    <row r="37" spans="1:20" ht="15.6" customHeight="1">
      <c r="A37" s="245"/>
      <c r="B37" s="239"/>
      <c r="C37" s="157" t="s">
        <v>278</v>
      </c>
      <c r="D37" s="193" t="s">
        <v>71</v>
      </c>
      <c r="E37" s="208">
        <f>IFERROR(VLOOKUP(D37, 기본학점, 2, FALSE), "")</f>
        <v>3</v>
      </c>
      <c r="F37" s="163">
        <v>3</v>
      </c>
      <c r="G37" s="125"/>
      <c r="H37" s="143"/>
      <c r="I37" s="79"/>
      <c r="J37" s="78"/>
      <c r="K37" s="79">
        <v>3</v>
      </c>
      <c r="L37" s="80" t="s">
        <v>314</v>
      </c>
      <c r="M37" s="192" t="s">
        <v>315</v>
      </c>
      <c r="N37" s="169"/>
      <c r="O37" s="299"/>
      <c r="P37" s="274"/>
      <c r="R37" s="6"/>
      <c r="S37" s="6"/>
      <c r="T37" s="6"/>
    </row>
    <row r="38" spans="1:20" ht="15.6" customHeight="1">
      <c r="A38" s="245"/>
      <c r="B38" s="240"/>
      <c r="C38" s="113" t="s">
        <v>278</v>
      </c>
      <c r="D38" s="199" t="s">
        <v>45</v>
      </c>
      <c r="E38" s="182">
        <f t="shared" si="0"/>
        <v>3</v>
      </c>
      <c r="F38" s="159">
        <v>3</v>
      </c>
      <c r="G38" s="139"/>
      <c r="H38" s="145"/>
      <c r="I38" s="86"/>
      <c r="J38" s="87"/>
      <c r="K38" s="86" t="s">
        <v>314</v>
      </c>
      <c r="L38" s="87">
        <v>3</v>
      </c>
      <c r="M38" s="199" t="s">
        <v>315</v>
      </c>
      <c r="N38" s="172"/>
      <c r="O38" s="300"/>
      <c r="P38" s="273"/>
      <c r="R38" s="6"/>
      <c r="S38" s="6"/>
      <c r="T38" s="6"/>
    </row>
    <row r="39" spans="1:20" ht="15.6" customHeight="1">
      <c r="A39" s="245"/>
      <c r="B39" s="246" t="s">
        <v>188</v>
      </c>
      <c r="C39" s="81" t="s">
        <v>263</v>
      </c>
      <c r="D39" s="196" t="s">
        <v>47</v>
      </c>
      <c r="E39" s="220">
        <f t="shared" si="0"/>
        <v>4</v>
      </c>
      <c r="F39" s="161">
        <v>3</v>
      </c>
      <c r="G39" s="137">
        <v>3</v>
      </c>
      <c r="H39" s="144"/>
      <c r="I39" s="83"/>
      <c r="J39" s="82"/>
      <c r="K39" s="83"/>
      <c r="L39" s="84"/>
      <c r="M39" s="197"/>
      <c r="N39" s="81"/>
      <c r="O39" s="301">
        <f>SUM(F39:F40)</f>
        <v>6</v>
      </c>
      <c r="P39" s="272">
        <v>16</v>
      </c>
      <c r="R39" s="6"/>
      <c r="S39" s="6"/>
      <c r="T39" s="6"/>
    </row>
    <row r="40" spans="1:20" ht="15.6" customHeight="1" thickBot="1">
      <c r="A40" s="245"/>
      <c r="B40" s="239"/>
      <c r="C40" s="157" t="s">
        <v>278</v>
      </c>
      <c r="D40" s="193" t="s">
        <v>156</v>
      </c>
      <c r="E40" s="208">
        <f>IFERROR(VLOOKUP(D40, 기본학점, 2, FALSE), "")</f>
        <v>4</v>
      </c>
      <c r="F40" s="183">
        <v>3</v>
      </c>
      <c r="G40" s="138"/>
      <c r="H40" s="143">
        <v>3</v>
      </c>
      <c r="I40" s="79"/>
      <c r="J40" s="78"/>
      <c r="K40" s="79"/>
      <c r="L40" s="80"/>
      <c r="M40" s="192"/>
      <c r="N40" s="157"/>
      <c r="O40" s="302"/>
      <c r="P40" s="274"/>
      <c r="R40" s="6"/>
      <c r="S40" s="6"/>
      <c r="T40" s="6"/>
    </row>
    <row r="41" spans="1:20" ht="15.6" customHeight="1">
      <c r="A41" s="248" t="s">
        <v>18</v>
      </c>
      <c r="B41" s="232" t="s">
        <v>6</v>
      </c>
      <c r="C41" s="35" t="s">
        <v>278</v>
      </c>
      <c r="D41" s="190" t="s">
        <v>286</v>
      </c>
      <c r="E41" s="221">
        <f t="shared" ref="E41:E55" si="1">IFERROR(VLOOKUP(D41, 기본학점, 2, FALSE), "")</f>
        <v>4</v>
      </c>
      <c r="F41" s="164">
        <v>3</v>
      </c>
      <c r="G41" s="222"/>
      <c r="H41" s="150"/>
      <c r="I41" s="250" t="s">
        <v>294</v>
      </c>
      <c r="J41" s="223"/>
      <c r="K41" s="9"/>
      <c r="L41" s="36"/>
      <c r="M41" s="204"/>
      <c r="N41" s="174"/>
      <c r="O41" s="299">
        <v>30</v>
      </c>
      <c r="P41" s="324"/>
      <c r="R41" s="6"/>
      <c r="S41" s="6"/>
      <c r="T41" s="6"/>
    </row>
    <row r="42" spans="1:20" ht="15.6" customHeight="1">
      <c r="A42" s="245"/>
      <c r="B42" s="233" t="s">
        <v>7</v>
      </c>
      <c r="C42" s="19" t="s">
        <v>278</v>
      </c>
      <c r="D42" s="196" t="s">
        <v>104</v>
      </c>
      <c r="E42" s="220">
        <f t="shared" si="1"/>
        <v>4</v>
      </c>
      <c r="F42" s="220">
        <v>3</v>
      </c>
      <c r="G42" s="224"/>
      <c r="H42" s="147"/>
      <c r="I42" s="251"/>
      <c r="J42" s="165"/>
      <c r="K42" s="17"/>
      <c r="L42" s="18"/>
      <c r="M42" s="203"/>
      <c r="N42" s="81"/>
      <c r="O42" s="299"/>
      <c r="P42" s="325"/>
      <c r="R42" s="6"/>
      <c r="S42" s="6"/>
      <c r="T42" s="6"/>
    </row>
    <row r="43" spans="1:20" ht="15.6" customHeight="1">
      <c r="A43" s="245"/>
      <c r="B43" s="233" t="s">
        <v>16</v>
      </c>
      <c r="C43" s="19" t="s">
        <v>278</v>
      </c>
      <c r="D43" s="196" t="s">
        <v>287</v>
      </c>
      <c r="E43" s="220">
        <f t="shared" si="1"/>
        <v>4</v>
      </c>
      <c r="F43" s="122">
        <v>3</v>
      </c>
      <c r="G43" s="127"/>
      <c r="H43" s="147"/>
      <c r="I43" s="251"/>
      <c r="J43" s="165"/>
      <c r="K43" s="17"/>
      <c r="L43" s="18"/>
      <c r="M43" s="203"/>
      <c r="N43" s="81"/>
      <c r="O43" s="299"/>
      <c r="P43" s="325"/>
    </row>
    <row r="44" spans="1:20" ht="15.6" customHeight="1">
      <c r="A44" s="245"/>
      <c r="B44" s="246" t="s">
        <v>185</v>
      </c>
      <c r="C44" s="19" t="s">
        <v>263</v>
      </c>
      <c r="D44" s="196" t="s">
        <v>64</v>
      </c>
      <c r="E44" s="220">
        <f t="shared" si="1"/>
        <v>4</v>
      </c>
      <c r="F44" s="122">
        <v>3</v>
      </c>
      <c r="G44" s="127"/>
      <c r="H44" s="152"/>
      <c r="I44" s="251"/>
      <c r="J44" s="225"/>
      <c r="K44" s="40"/>
      <c r="L44" s="41"/>
      <c r="M44" s="203"/>
      <c r="N44" s="171"/>
      <c r="O44" s="299"/>
      <c r="P44" s="325"/>
    </row>
    <row r="45" spans="1:20" ht="15.6" customHeight="1">
      <c r="A45" s="245"/>
      <c r="B45" s="239"/>
      <c r="C45" s="10" t="s">
        <v>263</v>
      </c>
      <c r="D45" s="193" t="s">
        <v>121</v>
      </c>
      <c r="E45" s="208">
        <f>IFERROR(VLOOKUP(D45, 기본학점, 2, FALSE), "")</f>
        <v>4</v>
      </c>
      <c r="F45" s="125">
        <v>3</v>
      </c>
      <c r="G45" s="56"/>
      <c r="H45" s="153"/>
      <c r="I45" s="251"/>
      <c r="J45" s="226"/>
      <c r="K45" s="44"/>
      <c r="L45" s="45"/>
      <c r="M45" s="202"/>
      <c r="N45" s="169"/>
      <c r="O45" s="299"/>
      <c r="P45" s="325"/>
    </row>
    <row r="46" spans="1:20" ht="15.6" customHeight="1">
      <c r="A46" s="245"/>
      <c r="B46" s="239"/>
      <c r="C46" s="10" t="s">
        <v>263</v>
      </c>
      <c r="D46" s="193" t="s">
        <v>122</v>
      </c>
      <c r="E46" s="208">
        <f>IFERROR(VLOOKUP(D46, 기본학점, 2, FALSE), "")</f>
        <v>4</v>
      </c>
      <c r="F46" s="125">
        <v>3</v>
      </c>
      <c r="G46" s="56"/>
      <c r="H46" s="153"/>
      <c r="I46" s="251"/>
      <c r="J46" s="226"/>
      <c r="K46" s="44"/>
      <c r="L46" s="45"/>
      <c r="M46" s="202"/>
      <c r="N46" s="169"/>
      <c r="O46" s="299"/>
      <c r="P46" s="325"/>
    </row>
    <row r="47" spans="1:20" ht="15.6" customHeight="1">
      <c r="A47" s="245"/>
      <c r="B47" s="240"/>
      <c r="C47" s="20" t="s">
        <v>263</v>
      </c>
      <c r="D47" s="198" t="s">
        <v>123</v>
      </c>
      <c r="E47" s="159">
        <f t="shared" si="1"/>
        <v>4</v>
      </c>
      <c r="F47" s="159">
        <v>3</v>
      </c>
      <c r="G47" s="128"/>
      <c r="H47" s="154"/>
      <c r="I47" s="251"/>
      <c r="J47" s="46"/>
      <c r="K47" s="47"/>
      <c r="L47" s="48"/>
      <c r="M47" s="194"/>
      <c r="N47" s="113"/>
      <c r="O47" s="299"/>
      <c r="P47" s="325"/>
    </row>
    <row r="48" spans="1:20" ht="15.6" customHeight="1">
      <c r="A48" s="245"/>
      <c r="B48" s="246" t="s">
        <v>242</v>
      </c>
      <c r="C48" s="19" t="s">
        <v>263</v>
      </c>
      <c r="D48" s="196" t="s">
        <v>288</v>
      </c>
      <c r="E48" s="220">
        <f t="shared" si="1"/>
        <v>4</v>
      </c>
      <c r="F48" s="122">
        <v>3</v>
      </c>
      <c r="G48" s="127"/>
      <c r="H48" s="152"/>
      <c r="I48" s="251"/>
      <c r="J48" s="66"/>
      <c r="K48" s="15"/>
      <c r="L48" s="38"/>
      <c r="M48" s="203"/>
      <c r="N48" s="171"/>
      <c r="O48" s="299"/>
      <c r="P48" s="325"/>
    </row>
    <row r="49" spans="1:20" ht="15.6" customHeight="1">
      <c r="A49" s="245"/>
      <c r="B49" s="239"/>
      <c r="C49" s="10" t="s">
        <v>263</v>
      </c>
      <c r="D49" s="193" t="s">
        <v>289</v>
      </c>
      <c r="E49" s="208">
        <f t="shared" si="1"/>
        <v>4</v>
      </c>
      <c r="F49" s="125">
        <v>3</v>
      </c>
      <c r="G49" s="56"/>
      <c r="H49" s="153"/>
      <c r="I49" s="251"/>
      <c r="J49" s="64"/>
      <c r="K49" s="11"/>
      <c r="L49" s="42"/>
      <c r="M49" s="202"/>
      <c r="N49" s="169"/>
      <c r="O49" s="299"/>
      <c r="P49" s="325"/>
    </row>
    <row r="50" spans="1:20" ht="15.6" customHeight="1">
      <c r="A50" s="245"/>
      <c r="B50" s="239"/>
      <c r="C50" s="10" t="s">
        <v>263</v>
      </c>
      <c r="D50" s="193" t="s">
        <v>290</v>
      </c>
      <c r="E50" s="208">
        <f>IFERROR(VLOOKUP(D50, 기본학점, 2, FALSE), "")</f>
        <v>4</v>
      </c>
      <c r="F50" s="125">
        <v>3</v>
      </c>
      <c r="G50" s="56"/>
      <c r="H50" s="153"/>
      <c r="I50" s="251"/>
      <c r="J50" s="64"/>
      <c r="K50" s="11"/>
      <c r="L50" s="42"/>
      <c r="M50" s="202"/>
      <c r="N50" s="169"/>
      <c r="O50" s="299"/>
      <c r="P50" s="325"/>
    </row>
    <row r="51" spans="1:20" ht="15.6" customHeight="1">
      <c r="A51" s="245"/>
      <c r="B51" s="240"/>
      <c r="C51" s="26" t="s">
        <v>263</v>
      </c>
      <c r="D51" s="198" t="s">
        <v>291</v>
      </c>
      <c r="E51" s="159">
        <f t="shared" si="1"/>
        <v>4</v>
      </c>
      <c r="F51" s="121">
        <v>3</v>
      </c>
      <c r="G51" s="142"/>
      <c r="H51" s="149"/>
      <c r="I51" s="251"/>
      <c r="J51" s="50"/>
      <c r="K51" s="49"/>
      <c r="L51" s="21"/>
      <c r="M51" s="194"/>
      <c r="N51" s="170"/>
      <c r="O51" s="299"/>
      <c r="P51" s="325"/>
    </row>
    <row r="52" spans="1:20" ht="15.6" customHeight="1">
      <c r="A52" s="245"/>
      <c r="B52" s="233" t="s">
        <v>103</v>
      </c>
      <c r="C52" s="19" t="s">
        <v>278</v>
      </c>
      <c r="D52" s="196" t="s">
        <v>155</v>
      </c>
      <c r="E52" s="220">
        <f t="shared" si="1"/>
        <v>4</v>
      </c>
      <c r="F52" s="158">
        <v>3</v>
      </c>
      <c r="G52" s="127"/>
      <c r="H52" s="147"/>
      <c r="I52" s="251" t="s">
        <v>295</v>
      </c>
      <c r="J52" s="165"/>
      <c r="K52" s="17"/>
      <c r="L52" s="16"/>
      <c r="M52" s="203"/>
      <c r="N52" s="171"/>
      <c r="O52" s="299"/>
      <c r="P52" s="325"/>
    </row>
    <row r="53" spans="1:20" ht="15.6" customHeight="1">
      <c r="A53" s="245"/>
      <c r="B53" s="246" t="s">
        <v>102</v>
      </c>
      <c r="C53" s="19" t="s">
        <v>263</v>
      </c>
      <c r="D53" s="196" t="s">
        <v>293</v>
      </c>
      <c r="E53" s="220">
        <f t="shared" si="1"/>
        <v>4</v>
      </c>
      <c r="F53" s="158">
        <v>3</v>
      </c>
      <c r="G53" s="127"/>
      <c r="H53" s="147"/>
      <c r="I53" s="251"/>
      <c r="J53" s="165"/>
      <c r="K53" s="17"/>
      <c r="L53" s="16"/>
      <c r="M53" s="203"/>
      <c r="N53" s="81"/>
      <c r="O53" s="299"/>
      <c r="P53" s="325"/>
    </row>
    <row r="54" spans="1:20" ht="15.6" customHeight="1" thickBot="1">
      <c r="A54" s="245"/>
      <c r="B54" s="240"/>
      <c r="C54" s="26" t="s">
        <v>263</v>
      </c>
      <c r="D54" s="198" t="s">
        <v>292</v>
      </c>
      <c r="E54" s="159">
        <f t="shared" si="1"/>
        <v>4</v>
      </c>
      <c r="F54" s="159">
        <v>3</v>
      </c>
      <c r="G54" s="55"/>
      <c r="H54" s="151"/>
      <c r="I54" s="252"/>
      <c r="J54" s="37"/>
      <c r="K54" s="24"/>
      <c r="L54" s="25"/>
      <c r="M54" s="194"/>
      <c r="N54" s="170"/>
      <c r="O54" s="299"/>
      <c r="P54" s="325"/>
    </row>
    <row r="55" spans="1:20" ht="15.6" customHeight="1">
      <c r="A55" s="249"/>
      <c r="B55" s="232" t="s">
        <v>6</v>
      </c>
      <c r="C55" s="35" t="s">
        <v>278</v>
      </c>
      <c r="D55" s="190" t="s">
        <v>296</v>
      </c>
      <c r="E55" s="221">
        <f t="shared" si="1"/>
        <v>4</v>
      </c>
      <c r="F55" s="164">
        <v>3</v>
      </c>
      <c r="G55" s="222"/>
      <c r="H55" s="150"/>
      <c r="I55" s="9"/>
      <c r="J55" s="253" t="s">
        <v>294</v>
      </c>
      <c r="K55" s="9"/>
      <c r="L55" s="36"/>
      <c r="M55" s="204"/>
      <c r="N55" s="227"/>
      <c r="O55" s="320"/>
      <c r="P55" s="326"/>
      <c r="R55" s="6"/>
      <c r="S55" s="6"/>
      <c r="T55" s="6"/>
    </row>
    <row r="56" spans="1:20" ht="15.6" customHeight="1">
      <c r="A56" s="249"/>
      <c r="B56" s="233" t="s">
        <v>7</v>
      </c>
      <c r="C56" s="19" t="s">
        <v>278</v>
      </c>
      <c r="D56" s="196" t="s">
        <v>106</v>
      </c>
      <c r="E56" s="220">
        <f t="shared" ref="E56:E71" si="2">IFERROR(VLOOKUP(D56, 기본학점, 2, FALSE), "")</f>
        <v>4</v>
      </c>
      <c r="F56" s="161">
        <v>3</v>
      </c>
      <c r="G56" s="127"/>
      <c r="H56" s="147"/>
      <c r="I56" s="17"/>
      <c r="J56" s="254"/>
      <c r="K56" s="17"/>
      <c r="L56" s="18"/>
      <c r="M56" s="203"/>
      <c r="N56" s="81"/>
      <c r="O56" s="320"/>
      <c r="P56" s="326"/>
    </row>
    <row r="57" spans="1:20" ht="15.6" customHeight="1">
      <c r="A57" s="249"/>
      <c r="B57" s="233" t="s">
        <v>16</v>
      </c>
      <c r="C57" s="19" t="s">
        <v>278</v>
      </c>
      <c r="D57" s="196" t="s">
        <v>297</v>
      </c>
      <c r="E57" s="220">
        <f t="shared" si="2"/>
        <v>4</v>
      </c>
      <c r="F57" s="161">
        <v>3</v>
      </c>
      <c r="G57" s="127"/>
      <c r="H57" s="147"/>
      <c r="I57" s="17"/>
      <c r="J57" s="254"/>
      <c r="K57" s="17"/>
      <c r="L57" s="18"/>
      <c r="M57" s="203"/>
      <c r="N57" s="171"/>
      <c r="O57" s="320"/>
      <c r="P57" s="326"/>
    </row>
    <row r="58" spans="1:20" ht="15.6" customHeight="1">
      <c r="A58" s="249"/>
      <c r="B58" s="246" t="s">
        <v>185</v>
      </c>
      <c r="C58" s="19" t="s">
        <v>278</v>
      </c>
      <c r="D58" s="196" t="s">
        <v>298</v>
      </c>
      <c r="E58" s="220">
        <f t="shared" si="2"/>
        <v>4</v>
      </c>
      <c r="F58" s="161">
        <v>3</v>
      </c>
      <c r="G58" s="127"/>
      <c r="H58" s="152"/>
      <c r="I58" s="40"/>
      <c r="J58" s="254"/>
      <c r="K58" s="40"/>
      <c r="L58" s="41"/>
      <c r="M58" s="203"/>
      <c r="N58" s="81"/>
      <c r="O58" s="320"/>
      <c r="P58" s="326"/>
    </row>
    <row r="59" spans="1:20" ht="15.6" customHeight="1">
      <c r="A59" s="249"/>
      <c r="B59" s="239"/>
      <c r="C59" s="10" t="s">
        <v>278</v>
      </c>
      <c r="D59" s="193" t="s">
        <v>142</v>
      </c>
      <c r="E59" s="208">
        <f>IFERROR(VLOOKUP(D59, 기본학점, 2, FALSE), "")</f>
        <v>4</v>
      </c>
      <c r="F59" s="163">
        <v>3</v>
      </c>
      <c r="G59" s="56"/>
      <c r="H59" s="153"/>
      <c r="I59" s="44"/>
      <c r="J59" s="254"/>
      <c r="K59" s="44"/>
      <c r="L59" s="45"/>
      <c r="M59" s="202"/>
      <c r="N59" s="169"/>
      <c r="O59" s="320"/>
      <c r="P59" s="326"/>
    </row>
    <row r="60" spans="1:20" ht="15.6" customHeight="1">
      <c r="A60" s="249"/>
      <c r="B60" s="239"/>
      <c r="C60" s="10" t="s">
        <v>278</v>
      </c>
      <c r="D60" s="193" t="s">
        <v>299</v>
      </c>
      <c r="E60" s="208">
        <f>IFERROR(VLOOKUP(D60, 기본학점, 2, FALSE), "")</f>
        <v>4</v>
      </c>
      <c r="F60" s="163">
        <v>3</v>
      </c>
      <c r="G60" s="56"/>
      <c r="H60" s="153"/>
      <c r="I60" s="44"/>
      <c r="J60" s="254"/>
      <c r="K60" s="44"/>
      <c r="L60" s="45"/>
      <c r="M60" s="202"/>
      <c r="N60" s="169"/>
      <c r="O60" s="320"/>
      <c r="P60" s="326"/>
    </row>
    <row r="61" spans="1:20" ht="15.6" customHeight="1">
      <c r="A61" s="249"/>
      <c r="B61" s="239"/>
      <c r="C61" s="10" t="s">
        <v>278</v>
      </c>
      <c r="D61" s="193" t="s">
        <v>145</v>
      </c>
      <c r="E61" s="208">
        <f t="shared" si="2"/>
        <v>4</v>
      </c>
      <c r="F61" s="163">
        <v>3</v>
      </c>
      <c r="G61" s="56"/>
      <c r="H61" s="153"/>
      <c r="I61" s="44"/>
      <c r="J61" s="254"/>
      <c r="K61" s="44"/>
      <c r="L61" s="45"/>
      <c r="M61" s="202"/>
      <c r="N61" s="169"/>
      <c r="O61" s="320"/>
      <c r="P61" s="326"/>
    </row>
    <row r="62" spans="1:20" ht="15.6" customHeight="1">
      <c r="A62" s="249"/>
      <c r="B62" s="240"/>
      <c r="C62" s="20" t="s">
        <v>278</v>
      </c>
      <c r="D62" s="198" t="s">
        <v>300</v>
      </c>
      <c r="E62" s="159">
        <f t="shared" si="2"/>
        <v>4</v>
      </c>
      <c r="F62" s="159">
        <v>3</v>
      </c>
      <c r="G62" s="140"/>
      <c r="H62" s="156"/>
      <c r="I62" s="57"/>
      <c r="J62" s="254"/>
      <c r="K62" s="58"/>
      <c r="L62" s="59"/>
      <c r="M62" s="195"/>
      <c r="N62" s="113"/>
      <c r="O62" s="320"/>
      <c r="P62" s="326"/>
    </row>
    <row r="63" spans="1:20" ht="15.6" customHeight="1">
      <c r="A63" s="249"/>
      <c r="B63" s="246" t="s">
        <v>8</v>
      </c>
      <c r="C63" s="19" t="s">
        <v>278</v>
      </c>
      <c r="D63" s="196" t="s">
        <v>66</v>
      </c>
      <c r="E63" s="220">
        <f t="shared" si="2"/>
        <v>4</v>
      </c>
      <c r="F63" s="161">
        <v>3</v>
      </c>
      <c r="G63" s="127"/>
      <c r="H63" s="152"/>
      <c r="I63" s="17"/>
      <c r="J63" s="254"/>
      <c r="K63" s="15"/>
      <c r="L63" s="38"/>
      <c r="M63" s="203"/>
      <c r="N63" s="171"/>
      <c r="O63" s="320"/>
      <c r="P63" s="326"/>
    </row>
    <row r="64" spans="1:20" ht="15.6" customHeight="1">
      <c r="A64" s="249"/>
      <c r="B64" s="239"/>
      <c r="C64" s="10" t="s">
        <v>278</v>
      </c>
      <c r="D64" s="193" t="s">
        <v>68</v>
      </c>
      <c r="E64" s="208">
        <f t="shared" si="2"/>
        <v>4</v>
      </c>
      <c r="F64" s="163">
        <v>3</v>
      </c>
      <c r="G64" s="56"/>
      <c r="H64" s="153"/>
      <c r="I64" s="13"/>
      <c r="J64" s="254"/>
      <c r="K64" s="11"/>
      <c r="L64" s="42"/>
      <c r="M64" s="202"/>
      <c r="N64" s="169"/>
      <c r="O64" s="320"/>
      <c r="P64" s="326"/>
    </row>
    <row r="65" spans="1:16" ht="15.6" customHeight="1">
      <c r="A65" s="249"/>
      <c r="B65" s="239"/>
      <c r="C65" s="10" t="s">
        <v>278</v>
      </c>
      <c r="D65" s="193" t="s">
        <v>148</v>
      </c>
      <c r="E65" s="208">
        <f>IFERROR(VLOOKUP(D65, 기본학점, 2, FALSE), "")</f>
        <v>4</v>
      </c>
      <c r="F65" s="163">
        <v>3</v>
      </c>
      <c r="G65" s="56"/>
      <c r="H65" s="153"/>
      <c r="I65" s="13"/>
      <c r="J65" s="254"/>
      <c r="K65" s="11"/>
      <c r="L65" s="42"/>
      <c r="M65" s="202"/>
      <c r="N65" s="169"/>
      <c r="O65" s="320"/>
      <c r="P65" s="326"/>
    </row>
    <row r="66" spans="1:16" ht="15.6" customHeight="1">
      <c r="A66" s="249"/>
      <c r="B66" s="240"/>
      <c r="C66" s="26" t="s">
        <v>278</v>
      </c>
      <c r="D66" s="198" t="s">
        <v>150</v>
      </c>
      <c r="E66" s="159">
        <f t="shared" si="2"/>
        <v>4</v>
      </c>
      <c r="F66" s="159">
        <v>3</v>
      </c>
      <c r="G66" s="142"/>
      <c r="H66" s="149"/>
      <c r="I66" s="49"/>
      <c r="J66" s="255"/>
      <c r="K66" s="49"/>
      <c r="L66" s="21"/>
      <c r="M66" s="194"/>
      <c r="N66" s="113"/>
      <c r="O66" s="320"/>
      <c r="P66" s="326"/>
    </row>
    <row r="67" spans="1:16" ht="15.6" customHeight="1">
      <c r="A67" s="249"/>
      <c r="B67" s="233" t="s">
        <v>103</v>
      </c>
      <c r="C67" s="19" t="s">
        <v>283</v>
      </c>
      <c r="D67" s="196" t="s">
        <v>301</v>
      </c>
      <c r="E67" s="220">
        <f t="shared" si="2"/>
        <v>4</v>
      </c>
      <c r="F67" s="161">
        <v>3</v>
      </c>
      <c r="G67" s="127"/>
      <c r="H67" s="147"/>
      <c r="I67" s="17"/>
      <c r="J67" s="256" t="s">
        <v>295</v>
      </c>
      <c r="K67" s="17"/>
      <c r="L67" s="16"/>
      <c r="M67" s="203"/>
      <c r="N67" s="81"/>
      <c r="O67" s="320"/>
      <c r="P67" s="326"/>
    </row>
    <row r="68" spans="1:16" ht="15.6" customHeight="1">
      <c r="A68" s="249"/>
      <c r="B68" s="246" t="s">
        <v>102</v>
      </c>
      <c r="C68" s="19" t="s">
        <v>278</v>
      </c>
      <c r="D68" s="196" t="s">
        <v>302</v>
      </c>
      <c r="E68" s="220">
        <f t="shared" si="2"/>
        <v>4</v>
      </c>
      <c r="F68" s="158">
        <v>3</v>
      </c>
      <c r="G68" s="127"/>
      <c r="H68" s="147"/>
      <c r="I68" s="17"/>
      <c r="J68" s="254"/>
      <c r="K68" s="17"/>
      <c r="L68" s="16"/>
      <c r="M68" s="203"/>
      <c r="N68" s="81"/>
      <c r="O68" s="320"/>
      <c r="P68" s="326"/>
    </row>
    <row r="69" spans="1:16" ht="15.6" customHeight="1" thickBot="1">
      <c r="A69" s="249"/>
      <c r="B69" s="240"/>
      <c r="C69" s="20" t="s">
        <v>278</v>
      </c>
      <c r="D69" s="198" t="s">
        <v>83</v>
      </c>
      <c r="E69" s="159">
        <f t="shared" si="2"/>
        <v>4</v>
      </c>
      <c r="F69" s="159">
        <v>3</v>
      </c>
      <c r="G69" s="55"/>
      <c r="H69" s="151"/>
      <c r="I69" s="8"/>
      <c r="J69" s="257"/>
      <c r="K69" s="24"/>
      <c r="L69" s="25"/>
      <c r="M69" s="194"/>
      <c r="N69" s="170"/>
      <c r="O69" s="320"/>
      <c r="P69" s="326"/>
    </row>
    <row r="70" spans="1:16" ht="15.6" customHeight="1">
      <c r="A70" s="244" t="s">
        <v>20</v>
      </c>
      <c r="B70" s="232" t="s">
        <v>6</v>
      </c>
      <c r="C70" s="35" t="s">
        <v>283</v>
      </c>
      <c r="D70" s="190" t="s">
        <v>58</v>
      </c>
      <c r="E70" s="164">
        <f t="shared" si="2"/>
        <v>4</v>
      </c>
      <c r="F70" s="228">
        <v>3</v>
      </c>
      <c r="G70" s="129"/>
      <c r="H70" s="150"/>
      <c r="I70" s="9"/>
      <c r="J70" s="36"/>
      <c r="K70" s="258" t="s">
        <v>294</v>
      </c>
      <c r="L70" s="229"/>
      <c r="M70" s="204"/>
      <c r="N70" s="174"/>
      <c r="O70" s="321">
        <v>38</v>
      </c>
      <c r="P70" s="324"/>
    </row>
    <row r="71" spans="1:16" ht="15.6" customHeight="1">
      <c r="A71" s="245"/>
      <c r="B71" s="234" t="s">
        <v>7</v>
      </c>
      <c r="C71" s="19" t="s">
        <v>278</v>
      </c>
      <c r="D71" s="196" t="s">
        <v>303</v>
      </c>
      <c r="E71" s="220">
        <f t="shared" si="2"/>
        <v>4</v>
      </c>
      <c r="F71" s="158">
        <v>3</v>
      </c>
      <c r="G71" s="127"/>
      <c r="H71" s="147"/>
      <c r="I71" s="17"/>
      <c r="J71" s="18"/>
      <c r="K71" s="259"/>
      <c r="L71" s="16"/>
      <c r="M71" s="203"/>
      <c r="N71" s="171"/>
      <c r="O71" s="322"/>
      <c r="P71" s="325"/>
    </row>
    <row r="72" spans="1:16" ht="15.6" customHeight="1">
      <c r="A72" s="245"/>
      <c r="B72" s="233" t="s">
        <v>16</v>
      </c>
      <c r="C72" s="19" t="s">
        <v>278</v>
      </c>
      <c r="D72" s="196" t="s">
        <v>304</v>
      </c>
      <c r="E72" s="220">
        <f t="shared" ref="E72:E88" si="3">IFERROR(VLOOKUP(D72, 기본학점, 2, FALSE), "")</f>
        <v>4</v>
      </c>
      <c r="F72" s="158">
        <v>3</v>
      </c>
      <c r="G72" s="127"/>
      <c r="H72" s="147"/>
      <c r="I72" s="17"/>
      <c r="J72" s="18"/>
      <c r="K72" s="259"/>
      <c r="L72" s="16"/>
      <c r="M72" s="203"/>
      <c r="N72" s="171"/>
      <c r="O72" s="322"/>
      <c r="P72" s="325"/>
    </row>
    <row r="73" spans="1:16" ht="15.6" customHeight="1">
      <c r="A73" s="245"/>
      <c r="B73" s="246" t="s">
        <v>185</v>
      </c>
      <c r="C73" s="19" t="s">
        <v>278</v>
      </c>
      <c r="D73" s="196" t="s">
        <v>305</v>
      </c>
      <c r="E73" s="220">
        <f t="shared" si="3"/>
        <v>4</v>
      </c>
      <c r="F73" s="161">
        <v>3</v>
      </c>
      <c r="G73" s="127"/>
      <c r="H73" s="152"/>
      <c r="I73" s="40"/>
      <c r="J73" s="41"/>
      <c r="K73" s="259"/>
      <c r="L73" s="147"/>
      <c r="M73" s="203"/>
      <c r="N73" s="171"/>
      <c r="O73" s="322"/>
      <c r="P73" s="325"/>
    </row>
    <row r="74" spans="1:16" ht="15.6" customHeight="1">
      <c r="A74" s="245"/>
      <c r="B74" s="239"/>
      <c r="C74" s="10" t="s">
        <v>283</v>
      </c>
      <c r="D74" s="193" t="s">
        <v>65</v>
      </c>
      <c r="E74" s="208">
        <f>IFERROR(VLOOKUP(D74, 기본학점, 2, FALSE), "")</f>
        <v>4</v>
      </c>
      <c r="F74" s="163">
        <v>3</v>
      </c>
      <c r="G74" s="56"/>
      <c r="H74" s="153"/>
      <c r="I74" s="44"/>
      <c r="J74" s="45"/>
      <c r="K74" s="259"/>
      <c r="L74" s="148"/>
      <c r="M74" s="202"/>
      <c r="N74" s="169"/>
      <c r="O74" s="322"/>
      <c r="P74" s="325"/>
    </row>
    <row r="75" spans="1:16" ht="15.6" customHeight="1">
      <c r="A75" s="245"/>
      <c r="B75" s="239"/>
      <c r="C75" s="10" t="s">
        <v>283</v>
      </c>
      <c r="D75" s="193" t="s">
        <v>161</v>
      </c>
      <c r="E75" s="208">
        <f>IFERROR(VLOOKUP(D75, 기본학점, 2, FALSE), "")</f>
        <v>4</v>
      </c>
      <c r="F75" s="163">
        <v>3</v>
      </c>
      <c r="G75" s="56"/>
      <c r="H75" s="153"/>
      <c r="I75" s="44"/>
      <c r="J75" s="45"/>
      <c r="K75" s="259"/>
      <c r="L75" s="148"/>
      <c r="M75" s="202"/>
      <c r="N75" s="169"/>
      <c r="O75" s="322"/>
      <c r="P75" s="325"/>
    </row>
    <row r="76" spans="1:16" ht="15.6" customHeight="1">
      <c r="A76" s="245"/>
      <c r="B76" s="239"/>
      <c r="C76" s="10" t="s">
        <v>283</v>
      </c>
      <c r="D76" s="193" t="s">
        <v>162</v>
      </c>
      <c r="E76" s="208">
        <f t="shared" si="3"/>
        <v>4</v>
      </c>
      <c r="F76" s="163">
        <v>3</v>
      </c>
      <c r="G76" s="56"/>
      <c r="H76" s="153"/>
      <c r="I76" s="44"/>
      <c r="J76" s="45"/>
      <c r="K76" s="259"/>
      <c r="L76" s="148"/>
      <c r="M76" s="202"/>
      <c r="N76" s="169"/>
      <c r="O76" s="322"/>
      <c r="P76" s="325"/>
    </row>
    <row r="77" spans="1:16" ht="15.6" customHeight="1">
      <c r="A77" s="245"/>
      <c r="B77" s="240"/>
      <c r="C77" s="20" t="s">
        <v>278</v>
      </c>
      <c r="D77" s="198" t="s">
        <v>307</v>
      </c>
      <c r="E77" s="159">
        <f t="shared" si="3"/>
        <v>4</v>
      </c>
      <c r="F77" s="159">
        <v>3</v>
      </c>
      <c r="G77" s="128"/>
      <c r="H77" s="154"/>
      <c r="I77" s="60"/>
      <c r="J77" s="61"/>
      <c r="K77" s="259"/>
      <c r="L77" s="61"/>
      <c r="M77" s="194"/>
      <c r="N77" s="113"/>
      <c r="O77" s="322"/>
      <c r="P77" s="325"/>
    </row>
    <row r="78" spans="1:16" ht="15.6" customHeight="1">
      <c r="A78" s="245"/>
      <c r="B78" s="246" t="s">
        <v>8</v>
      </c>
      <c r="C78" s="19" t="s">
        <v>278</v>
      </c>
      <c r="D78" s="196" t="s">
        <v>67</v>
      </c>
      <c r="E78" s="220">
        <f t="shared" si="3"/>
        <v>4</v>
      </c>
      <c r="F78" s="161">
        <v>3</v>
      </c>
      <c r="G78" s="127"/>
      <c r="H78" s="152"/>
      <c r="I78" s="31"/>
      <c r="J78" s="32"/>
      <c r="K78" s="259"/>
      <c r="L78" s="38"/>
      <c r="M78" s="203"/>
      <c r="N78" s="171"/>
      <c r="O78" s="322"/>
      <c r="P78" s="325"/>
    </row>
    <row r="79" spans="1:16" ht="15.6" customHeight="1">
      <c r="A79" s="245"/>
      <c r="B79" s="239"/>
      <c r="C79" s="10" t="s">
        <v>278</v>
      </c>
      <c r="D79" s="193" t="s">
        <v>147</v>
      </c>
      <c r="E79" s="208">
        <f t="shared" si="3"/>
        <v>4</v>
      </c>
      <c r="F79" s="163">
        <v>3</v>
      </c>
      <c r="G79" s="56"/>
      <c r="H79" s="153"/>
      <c r="I79" s="33"/>
      <c r="J79" s="34"/>
      <c r="K79" s="259"/>
      <c r="L79" s="42"/>
      <c r="M79" s="202"/>
      <c r="N79" s="169"/>
      <c r="O79" s="322"/>
      <c r="P79" s="325"/>
    </row>
    <row r="80" spans="1:16" ht="15.6" customHeight="1">
      <c r="A80" s="245"/>
      <c r="B80" s="239"/>
      <c r="C80" s="10" t="s">
        <v>278</v>
      </c>
      <c r="D80" s="193" t="s">
        <v>149</v>
      </c>
      <c r="E80" s="208">
        <f t="shared" si="3"/>
        <v>4</v>
      </c>
      <c r="F80" s="163">
        <v>3</v>
      </c>
      <c r="G80" s="141"/>
      <c r="H80" s="148"/>
      <c r="I80" s="13"/>
      <c r="J80" s="14"/>
      <c r="K80" s="259"/>
      <c r="L80" s="12"/>
      <c r="M80" s="202"/>
      <c r="N80" s="169"/>
      <c r="O80" s="322"/>
      <c r="P80" s="325"/>
    </row>
    <row r="81" spans="1:16" ht="15.6" customHeight="1">
      <c r="A81" s="245"/>
      <c r="B81" s="240"/>
      <c r="C81" s="26" t="s">
        <v>278</v>
      </c>
      <c r="D81" s="198" t="s">
        <v>151</v>
      </c>
      <c r="E81" s="159">
        <f t="shared" si="3"/>
        <v>4</v>
      </c>
      <c r="F81" s="126">
        <v>3</v>
      </c>
      <c r="G81" s="142"/>
      <c r="H81" s="149"/>
      <c r="I81" s="22"/>
      <c r="J81" s="23"/>
      <c r="K81" s="260"/>
      <c r="L81" s="23"/>
      <c r="M81" s="194"/>
      <c r="N81" s="170"/>
      <c r="O81" s="322"/>
      <c r="P81" s="325"/>
    </row>
    <row r="82" spans="1:16" ht="15.6" customHeight="1">
      <c r="A82" s="245"/>
      <c r="B82" s="246" t="s">
        <v>189</v>
      </c>
      <c r="C82" s="19" t="s">
        <v>263</v>
      </c>
      <c r="D82" s="196" t="s">
        <v>51</v>
      </c>
      <c r="E82" s="220">
        <f t="shared" si="3"/>
        <v>3</v>
      </c>
      <c r="F82" s="158">
        <v>2</v>
      </c>
      <c r="G82" s="127"/>
      <c r="H82" s="147"/>
      <c r="I82" s="17"/>
      <c r="J82" s="18"/>
      <c r="K82" s="259" t="s">
        <v>306</v>
      </c>
      <c r="L82" s="16"/>
      <c r="M82" s="203"/>
      <c r="N82" s="171"/>
      <c r="O82" s="322"/>
      <c r="P82" s="325"/>
    </row>
    <row r="83" spans="1:16" ht="15.6" customHeight="1" thickBot="1">
      <c r="A83" s="245"/>
      <c r="B83" s="247"/>
      <c r="C83" s="52" t="s">
        <v>278</v>
      </c>
      <c r="D83" s="200" t="s">
        <v>88</v>
      </c>
      <c r="E83" s="185">
        <f t="shared" si="3"/>
        <v>3</v>
      </c>
      <c r="F83" s="131">
        <v>2</v>
      </c>
      <c r="G83" s="130"/>
      <c r="H83" s="155"/>
      <c r="I83" s="54"/>
      <c r="J83" s="53"/>
      <c r="K83" s="314"/>
      <c r="L83" s="62"/>
      <c r="M83" s="201"/>
      <c r="N83" s="170"/>
      <c r="O83" s="322"/>
      <c r="P83" s="325"/>
    </row>
    <row r="84" spans="1:16" ht="15.6" customHeight="1">
      <c r="A84" s="249"/>
      <c r="B84" s="238" t="s">
        <v>6</v>
      </c>
      <c r="C84" s="35" t="s">
        <v>283</v>
      </c>
      <c r="D84" s="190" t="s">
        <v>32</v>
      </c>
      <c r="E84" s="164">
        <f t="shared" si="3"/>
        <v>4</v>
      </c>
      <c r="F84" s="164">
        <v>3</v>
      </c>
      <c r="G84" s="129"/>
      <c r="H84" s="150"/>
      <c r="I84" s="40"/>
      <c r="J84" s="36"/>
      <c r="K84" s="230"/>
      <c r="L84" s="235" t="s">
        <v>310</v>
      </c>
      <c r="M84" s="204"/>
      <c r="N84" s="174"/>
      <c r="O84" s="320"/>
      <c r="P84" s="326"/>
    </row>
    <row r="85" spans="1:16" ht="15.6" customHeight="1">
      <c r="A85" s="249"/>
      <c r="B85" s="240"/>
      <c r="C85" s="26" t="s">
        <v>283</v>
      </c>
      <c r="D85" s="198" t="s">
        <v>59</v>
      </c>
      <c r="E85" s="162">
        <f t="shared" si="3"/>
        <v>4</v>
      </c>
      <c r="F85" s="126">
        <v>3</v>
      </c>
      <c r="G85" s="211"/>
      <c r="H85" s="212"/>
      <c r="I85" s="60"/>
      <c r="J85" s="213"/>
      <c r="K85" s="214"/>
      <c r="L85" s="236"/>
      <c r="M85" s="194"/>
      <c r="N85" s="113"/>
      <c r="O85" s="320"/>
      <c r="P85" s="326"/>
    </row>
    <row r="86" spans="1:16" ht="15.6" customHeight="1">
      <c r="A86" s="249"/>
      <c r="B86" s="246" t="s">
        <v>7</v>
      </c>
      <c r="C86" s="19" t="s">
        <v>283</v>
      </c>
      <c r="D86" s="196" t="s">
        <v>61</v>
      </c>
      <c r="E86" s="220">
        <f t="shared" si="3"/>
        <v>4</v>
      </c>
      <c r="F86" s="158">
        <v>3</v>
      </c>
      <c r="G86" s="127"/>
      <c r="H86" s="147"/>
      <c r="I86" s="40"/>
      <c r="J86" s="18"/>
      <c r="K86" s="51"/>
      <c r="L86" s="236"/>
      <c r="M86" s="203"/>
      <c r="N86" s="171"/>
      <c r="O86" s="320"/>
      <c r="P86" s="326"/>
    </row>
    <row r="87" spans="1:16" ht="15.6" customHeight="1">
      <c r="A87" s="249"/>
      <c r="B87" s="240"/>
      <c r="C87" s="20" t="s">
        <v>283</v>
      </c>
      <c r="D87" s="198" t="s">
        <v>60</v>
      </c>
      <c r="E87" s="159">
        <f t="shared" si="3"/>
        <v>4</v>
      </c>
      <c r="F87" s="126">
        <v>3</v>
      </c>
      <c r="G87" s="128"/>
      <c r="H87" s="149"/>
      <c r="I87" s="60"/>
      <c r="J87" s="23"/>
      <c r="K87" s="63"/>
      <c r="L87" s="236"/>
      <c r="M87" s="194"/>
      <c r="N87" s="170"/>
      <c r="O87" s="320"/>
      <c r="P87" s="326"/>
    </row>
    <row r="88" spans="1:16" ht="15.6" customHeight="1">
      <c r="A88" s="249"/>
      <c r="B88" s="233" t="s">
        <v>16</v>
      </c>
      <c r="C88" s="19" t="s">
        <v>283</v>
      </c>
      <c r="D88" s="196" t="s">
        <v>41</v>
      </c>
      <c r="E88" s="220">
        <f t="shared" si="3"/>
        <v>4</v>
      </c>
      <c r="F88" s="158">
        <v>3</v>
      </c>
      <c r="G88" s="127"/>
      <c r="H88" s="147"/>
      <c r="I88" s="15"/>
      <c r="J88" s="16"/>
      <c r="K88" s="165"/>
      <c r="L88" s="236"/>
      <c r="M88" s="203"/>
      <c r="N88" s="81"/>
      <c r="O88" s="320"/>
      <c r="P88" s="326"/>
    </row>
    <row r="89" spans="1:16" ht="15.6" customHeight="1">
      <c r="A89" s="249"/>
      <c r="B89" s="246" t="s">
        <v>185</v>
      </c>
      <c r="C89" s="19" t="s">
        <v>283</v>
      </c>
      <c r="D89" s="196" t="s">
        <v>164</v>
      </c>
      <c r="E89" s="220">
        <f t="shared" ref="E89:E98" si="4">IFERROR(VLOOKUP(D89, 기본학점, 2, FALSE), "")</f>
        <v>4</v>
      </c>
      <c r="F89" s="161">
        <v>3</v>
      </c>
      <c r="G89" s="127"/>
      <c r="H89" s="152"/>
      <c r="I89" s="40"/>
      <c r="J89" s="41"/>
      <c r="K89" s="39"/>
      <c r="L89" s="236"/>
      <c r="M89" s="203"/>
      <c r="N89" s="171"/>
      <c r="O89" s="320"/>
      <c r="P89" s="326"/>
    </row>
    <row r="90" spans="1:16" ht="15.6" customHeight="1">
      <c r="A90" s="249"/>
      <c r="B90" s="239"/>
      <c r="C90" s="10" t="s">
        <v>283</v>
      </c>
      <c r="D90" s="193" t="s">
        <v>163</v>
      </c>
      <c r="E90" s="208">
        <f>IFERROR(VLOOKUP(D90, 기본학점, 2, FALSE), "")</f>
        <v>4</v>
      </c>
      <c r="F90" s="163">
        <v>3</v>
      </c>
      <c r="G90" s="56"/>
      <c r="H90" s="153"/>
      <c r="I90" s="44"/>
      <c r="J90" s="45"/>
      <c r="K90" s="43"/>
      <c r="L90" s="236"/>
      <c r="M90" s="202"/>
      <c r="N90" s="169"/>
      <c r="O90" s="320"/>
      <c r="P90" s="326"/>
    </row>
    <row r="91" spans="1:16" ht="15.6" customHeight="1">
      <c r="A91" s="249"/>
      <c r="B91" s="240"/>
      <c r="C91" s="20" t="s">
        <v>283</v>
      </c>
      <c r="D91" s="198" t="s">
        <v>165</v>
      </c>
      <c r="E91" s="159">
        <f t="shared" si="4"/>
        <v>4</v>
      </c>
      <c r="F91" s="159">
        <v>3</v>
      </c>
      <c r="G91" s="128"/>
      <c r="H91" s="154"/>
      <c r="I91" s="60"/>
      <c r="J91" s="61"/>
      <c r="K91" s="65"/>
      <c r="L91" s="236"/>
      <c r="M91" s="194"/>
      <c r="N91" s="113"/>
      <c r="O91" s="320"/>
      <c r="P91" s="326"/>
    </row>
    <row r="92" spans="1:16" ht="15.6" customHeight="1">
      <c r="A92" s="249"/>
      <c r="B92" s="246" t="s">
        <v>8</v>
      </c>
      <c r="C92" s="19" t="s">
        <v>283</v>
      </c>
      <c r="D92" s="196" t="s">
        <v>166</v>
      </c>
      <c r="E92" s="220">
        <f t="shared" si="4"/>
        <v>4</v>
      </c>
      <c r="F92" s="161">
        <v>3</v>
      </c>
      <c r="G92" s="127"/>
      <c r="H92" s="152"/>
      <c r="I92" s="15"/>
      <c r="J92" s="38"/>
      <c r="K92" s="231"/>
      <c r="L92" s="236"/>
      <c r="M92" s="203"/>
      <c r="N92" s="171"/>
      <c r="O92" s="320"/>
      <c r="P92" s="326"/>
    </row>
    <row r="93" spans="1:16" ht="15.6" customHeight="1">
      <c r="A93" s="249"/>
      <c r="B93" s="239"/>
      <c r="C93" s="10" t="s">
        <v>283</v>
      </c>
      <c r="D93" s="193" t="s">
        <v>167</v>
      </c>
      <c r="E93" s="208">
        <f>IFERROR(VLOOKUP(D93, 기본학점, 2, FALSE), "")</f>
        <v>4</v>
      </c>
      <c r="F93" s="163">
        <v>3</v>
      </c>
      <c r="G93" s="56"/>
      <c r="H93" s="153"/>
      <c r="I93" s="11"/>
      <c r="J93" s="42"/>
      <c r="K93" s="210"/>
      <c r="L93" s="236"/>
      <c r="M93" s="202"/>
      <c r="N93" s="169"/>
      <c r="O93" s="320"/>
      <c r="P93" s="326"/>
    </row>
    <row r="94" spans="1:16" ht="15.6" customHeight="1">
      <c r="A94" s="249"/>
      <c r="B94" s="239"/>
      <c r="C94" s="10" t="s">
        <v>283</v>
      </c>
      <c r="D94" s="193" t="s">
        <v>168</v>
      </c>
      <c r="E94" s="208">
        <f>IFERROR(VLOOKUP(D94, 기본학점, 2, FALSE), "")</f>
        <v>4</v>
      </c>
      <c r="F94" s="163">
        <v>3</v>
      </c>
      <c r="G94" s="56"/>
      <c r="H94" s="153"/>
      <c r="I94" s="11"/>
      <c r="J94" s="42"/>
      <c r="K94" s="210"/>
      <c r="L94" s="236"/>
      <c r="M94" s="202"/>
      <c r="N94" s="169"/>
      <c r="O94" s="320"/>
      <c r="P94" s="326"/>
    </row>
    <row r="95" spans="1:16" ht="15.6" customHeight="1">
      <c r="A95" s="249"/>
      <c r="B95" s="246" t="s">
        <v>189</v>
      </c>
      <c r="C95" s="19" t="s">
        <v>278</v>
      </c>
      <c r="D95" s="196" t="s">
        <v>308</v>
      </c>
      <c r="E95" s="220">
        <f t="shared" si="4"/>
        <v>3</v>
      </c>
      <c r="F95" s="158">
        <v>3</v>
      </c>
      <c r="G95" s="127"/>
      <c r="H95" s="147"/>
      <c r="I95" s="15"/>
      <c r="J95" s="16"/>
      <c r="K95" s="165"/>
      <c r="L95" s="256" t="s">
        <v>295</v>
      </c>
      <c r="M95" s="203"/>
      <c r="N95" s="81"/>
      <c r="O95" s="320"/>
      <c r="P95" s="326"/>
    </row>
    <row r="96" spans="1:16" ht="15.6" customHeight="1">
      <c r="A96" s="249"/>
      <c r="B96" s="239"/>
      <c r="C96" s="10" t="s">
        <v>283</v>
      </c>
      <c r="D96" s="193" t="s">
        <v>89</v>
      </c>
      <c r="E96" s="208">
        <f>IFERROR(VLOOKUP(D96, 기본학점, 2, FALSE), "")</f>
        <v>3</v>
      </c>
      <c r="F96" s="183">
        <v>3</v>
      </c>
      <c r="G96" s="56"/>
      <c r="H96" s="148"/>
      <c r="I96" s="11"/>
      <c r="J96" s="12"/>
      <c r="K96" s="209"/>
      <c r="L96" s="254"/>
      <c r="M96" s="202"/>
      <c r="N96" s="169"/>
      <c r="O96" s="320"/>
      <c r="P96" s="326"/>
    </row>
    <row r="97" spans="1:19" ht="15.6" customHeight="1" thickBot="1">
      <c r="A97" s="305"/>
      <c r="B97" s="247"/>
      <c r="C97" s="52" t="s">
        <v>283</v>
      </c>
      <c r="D97" s="200" t="s">
        <v>309</v>
      </c>
      <c r="E97" s="119">
        <f t="shared" si="4"/>
        <v>3</v>
      </c>
      <c r="F97" s="131">
        <v>3</v>
      </c>
      <c r="G97" s="130"/>
      <c r="H97" s="155"/>
      <c r="I97" s="54"/>
      <c r="J97" s="53"/>
      <c r="K97" s="67"/>
      <c r="L97" s="257"/>
      <c r="M97" s="191"/>
      <c r="N97" s="169"/>
      <c r="O97" s="323"/>
      <c r="P97" s="327"/>
    </row>
    <row r="98" spans="1:19" ht="18" hidden="1" thickBot="1">
      <c r="A98" s="133"/>
      <c r="B98" s="118"/>
      <c r="C98" s="134"/>
      <c r="D98" s="135"/>
      <c r="E98" s="123" t="str">
        <f t="shared" si="4"/>
        <v/>
      </c>
      <c r="F98" s="126"/>
      <c r="G98" s="132"/>
      <c r="H98" s="207"/>
      <c r="I98" s="28"/>
      <c r="J98" s="180"/>
      <c r="K98" s="118"/>
      <c r="L98" s="180"/>
      <c r="M98" s="27"/>
      <c r="N98" s="27"/>
      <c r="O98" s="186"/>
      <c r="P98" s="187"/>
    </row>
    <row r="99" spans="1:19" ht="17.25" customHeight="1">
      <c r="A99" s="309" t="s">
        <v>186</v>
      </c>
      <c r="B99" s="310"/>
      <c r="C99" s="310"/>
      <c r="D99" s="310"/>
      <c r="E99" s="311"/>
      <c r="F99" s="74"/>
      <c r="G99" s="68">
        <f>SUM(G6:G97)</f>
        <v>29</v>
      </c>
      <c r="H99" s="188">
        <f>SUM(H6:H98)</f>
        <v>29</v>
      </c>
      <c r="I99" s="68">
        <v>29</v>
      </c>
      <c r="J99" s="69">
        <v>29</v>
      </c>
      <c r="K99" s="70">
        <v>29</v>
      </c>
      <c r="L99" s="30">
        <v>29</v>
      </c>
      <c r="M99" s="173"/>
      <c r="N99" s="173"/>
      <c r="O99" s="29">
        <f>SUM(O6:O97)</f>
        <v>174</v>
      </c>
      <c r="P99" s="178">
        <f>SUM(P6:P97)</f>
        <v>84</v>
      </c>
      <c r="Q99" s="1"/>
    </row>
    <row r="100" spans="1:19" ht="15.6">
      <c r="A100" s="306" t="s">
        <v>5</v>
      </c>
      <c r="B100" s="307"/>
      <c r="C100" s="307"/>
      <c r="D100" s="307"/>
      <c r="E100" s="308"/>
      <c r="F100" s="71">
        <v>18</v>
      </c>
      <c r="G100" s="28">
        <v>3</v>
      </c>
      <c r="H100" s="180">
        <v>3</v>
      </c>
      <c r="I100" s="179">
        <v>3</v>
      </c>
      <c r="J100" s="180">
        <v>3</v>
      </c>
      <c r="K100" s="179">
        <v>3</v>
      </c>
      <c r="L100" s="177">
        <v>3</v>
      </c>
      <c r="M100" s="96"/>
      <c r="N100" s="28"/>
      <c r="O100" s="28">
        <f>SUM(G100:L100)</f>
        <v>18</v>
      </c>
      <c r="P100" s="175">
        <v>18</v>
      </c>
    </row>
    <row r="101" spans="1:19" ht="15" customHeight="1">
      <c r="A101" s="306" t="s">
        <v>24</v>
      </c>
      <c r="B101" s="307"/>
      <c r="C101" s="307"/>
      <c r="D101" s="307"/>
      <c r="E101" s="307"/>
      <c r="F101" s="308"/>
      <c r="G101" s="72">
        <f>SUM(G99:G100)</f>
        <v>32</v>
      </c>
      <c r="H101" s="73">
        <f t="shared" ref="H101" si="5">SUM(H99:H100)</f>
        <v>32</v>
      </c>
      <c r="I101" s="72">
        <f>SUM(I99:I100)</f>
        <v>32</v>
      </c>
      <c r="J101" s="73">
        <f t="shared" ref="J101" si="6">SUM(J99:J100)</f>
        <v>32</v>
      </c>
      <c r="K101" s="72">
        <f>SUM(K99:K100)</f>
        <v>32</v>
      </c>
      <c r="L101" s="73">
        <f t="shared" ref="L101" si="7">SUM(L99:L100)</f>
        <v>32</v>
      </c>
      <c r="M101" s="71"/>
      <c r="N101" s="176"/>
      <c r="O101" s="316">
        <f>SUM(G101:M101)</f>
        <v>192</v>
      </c>
      <c r="P101" s="317"/>
    </row>
    <row r="102" spans="1:19" ht="15" customHeight="1">
      <c r="A102" s="306" t="s">
        <v>187</v>
      </c>
      <c r="B102" s="307"/>
      <c r="C102" s="307"/>
      <c r="D102" s="307"/>
      <c r="E102" s="307"/>
      <c r="F102" s="308"/>
      <c r="G102" s="176">
        <v>10</v>
      </c>
      <c r="H102" s="73">
        <v>10</v>
      </c>
      <c r="I102" s="72">
        <v>9</v>
      </c>
      <c r="J102" s="73">
        <v>9</v>
      </c>
      <c r="K102" s="72">
        <v>10</v>
      </c>
      <c r="L102" s="181">
        <v>10</v>
      </c>
      <c r="M102" s="71"/>
      <c r="N102" s="176"/>
      <c r="O102" s="318"/>
      <c r="P102" s="319"/>
    </row>
    <row r="103" spans="1:19" ht="17.25" customHeight="1" thickBot="1">
      <c r="A103" s="312" t="s">
        <v>25</v>
      </c>
      <c r="B103" s="313"/>
      <c r="C103" s="313"/>
      <c r="D103" s="313"/>
      <c r="E103" s="313"/>
      <c r="F103" s="304"/>
      <c r="G103" s="303">
        <f>SUM(G101:H101)</f>
        <v>64</v>
      </c>
      <c r="H103" s="304"/>
      <c r="I103" s="303">
        <f t="shared" ref="I103" si="8">SUM(I101:J101)</f>
        <v>64</v>
      </c>
      <c r="J103" s="304"/>
      <c r="K103" s="303">
        <f t="shared" ref="K103" si="9">SUM(K101:L101)</f>
        <v>64</v>
      </c>
      <c r="L103" s="304"/>
      <c r="M103" s="97"/>
      <c r="N103" s="166"/>
      <c r="O103" s="303">
        <f>SUM(G103:M103)</f>
        <v>192</v>
      </c>
      <c r="P103" s="315"/>
    </row>
    <row r="104" spans="1:19">
      <c r="A104" s="261" t="s">
        <v>311</v>
      </c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3"/>
    </row>
    <row r="105" spans="1:19">
      <c r="A105" s="264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6"/>
    </row>
    <row r="106" spans="1:19">
      <c r="A106" s="264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6"/>
    </row>
    <row r="107" spans="1:19">
      <c r="A107" s="264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6"/>
    </row>
    <row r="108" spans="1:19">
      <c r="A108" s="264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6"/>
    </row>
    <row r="109" spans="1:19">
      <c r="A109" s="264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6"/>
    </row>
    <row r="110" spans="1:19">
      <c r="A110" s="264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6"/>
      <c r="S110" s="7"/>
    </row>
    <row r="111" spans="1:19">
      <c r="A111" s="264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6"/>
    </row>
    <row r="112" spans="1:19" ht="15" thickBot="1">
      <c r="A112" s="267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9"/>
    </row>
  </sheetData>
  <mergeCells count="89">
    <mergeCell ref="O11:O15"/>
    <mergeCell ref="O16:O20"/>
    <mergeCell ref="O21:O22"/>
    <mergeCell ref="O23:O24"/>
    <mergeCell ref="O103:P103"/>
    <mergeCell ref="O101:P101"/>
    <mergeCell ref="O102:P102"/>
    <mergeCell ref="O41:O69"/>
    <mergeCell ref="O70:O97"/>
    <mergeCell ref="P41:P69"/>
    <mergeCell ref="P70:P97"/>
    <mergeCell ref="G103:H103"/>
    <mergeCell ref="I103:J103"/>
    <mergeCell ref="K103:L103"/>
    <mergeCell ref="B82:B83"/>
    <mergeCell ref="A70:A97"/>
    <mergeCell ref="B73:B77"/>
    <mergeCell ref="B84:B85"/>
    <mergeCell ref="B86:B87"/>
    <mergeCell ref="B89:B91"/>
    <mergeCell ref="B92:B94"/>
    <mergeCell ref="A101:F101"/>
    <mergeCell ref="A99:E99"/>
    <mergeCell ref="A100:E100"/>
    <mergeCell ref="A102:F102"/>
    <mergeCell ref="A103:F103"/>
    <mergeCell ref="K82:K83"/>
    <mergeCell ref="O3:O5"/>
    <mergeCell ref="I4:I5"/>
    <mergeCell ref="K2:P2"/>
    <mergeCell ref="B58:B62"/>
    <mergeCell ref="B63:B66"/>
    <mergeCell ref="B44:B47"/>
    <mergeCell ref="B48:B51"/>
    <mergeCell ref="B53:B54"/>
    <mergeCell ref="O6:O10"/>
    <mergeCell ref="P6:P10"/>
    <mergeCell ref="O35:O38"/>
    <mergeCell ref="O25:O28"/>
    <mergeCell ref="B39:B40"/>
    <mergeCell ref="P39:P40"/>
    <mergeCell ref="O39:O40"/>
    <mergeCell ref="O29:O34"/>
    <mergeCell ref="N3:N5"/>
    <mergeCell ref="B78:B81"/>
    <mergeCell ref="B11:B15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A104:P112"/>
    <mergeCell ref="J4:J5"/>
    <mergeCell ref="B21:B24"/>
    <mergeCell ref="P23:P24"/>
    <mergeCell ref="P16:P20"/>
    <mergeCell ref="K4:K5"/>
    <mergeCell ref="L4:L5"/>
    <mergeCell ref="P21:P22"/>
    <mergeCell ref="P35:P38"/>
    <mergeCell ref="B25:B28"/>
    <mergeCell ref="P11:P15"/>
    <mergeCell ref="B16:B20"/>
    <mergeCell ref="P25:P28"/>
    <mergeCell ref="B29:B34"/>
    <mergeCell ref="P29:P34"/>
    <mergeCell ref="B35:B38"/>
    <mergeCell ref="L84:L94"/>
    <mergeCell ref="L95:L97"/>
    <mergeCell ref="A2:D2"/>
    <mergeCell ref="B6:B10"/>
    <mergeCell ref="D3:D5"/>
    <mergeCell ref="A6:A40"/>
    <mergeCell ref="B95:B97"/>
    <mergeCell ref="B68:B69"/>
    <mergeCell ref="A41:A69"/>
    <mergeCell ref="I41:I51"/>
    <mergeCell ref="I52:I54"/>
    <mergeCell ref="J55:J66"/>
    <mergeCell ref="J67:J69"/>
    <mergeCell ref="K70:K81"/>
  </mergeCells>
  <phoneticPr fontId="1" type="noConversion"/>
  <conditionalFormatting sqref="E6:E9 E25:E27 E29:E33 F42">
    <cfRule type="expression" dxfId="35" priority="67">
      <formula>ISTEXT(E6)</formula>
    </cfRule>
  </conditionalFormatting>
  <conditionalFormatting sqref="E7:E9">
    <cfRule type="expression" dxfId="34" priority="66">
      <formula>ISTEXT(E7)</formula>
    </cfRule>
  </conditionalFormatting>
  <conditionalFormatting sqref="E11:E14">
    <cfRule type="expression" dxfId="33" priority="65">
      <formula>ISTEXT(E11)</formula>
    </cfRule>
  </conditionalFormatting>
  <conditionalFormatting sqref="E16:E19">
    <cfRule type="expression" dxfId="32" priority="64">
      <formula>ISTEXT(E16)</formula>
    </cfRule>
  </conditionalFormatting>
  <conditionalFormatting sqref="E21">
    <cfRule type="expression" dxfId="31" priority="62">
      <formula>ISTEXT(E21)</formula>
    </cfRule>
  </conditionalFormatting>
  <conditionalFormatting sqref="E23">
    <cfRule type="expression" dxfId="30" priority="61">
      <formula>ISTEXT(E23)</formula>
    </cfRule>
  </conditionalFormatting>
  <conditionalFormatting sqref="E39:E40">
    <cfRule type="expression" dxfId="29" priority="57">
      <formula>ISTEXT(E39)</formula>
    </cfRule>
  </conditionalFormatting>
  <conditionalFormatting sqref="E35:E37">
    <cfRule type="expression" dxfId="28" priority="52">
      <formula>ISTEXT(E35)</formula>
    </cfRule>
  </conditionalFormatting>
  <conditionalFormatting sqref="E41">
    <cfRule type="expression" dxfId="27" priority="51">
      <formula>ISTEXT(E41)</formula>
    </cfRule>
  </conditionalFormatting>
  <conditionalFormatting sqref="E42">
    <cfRule type="expression" dxfId="26" priority="50">
      <formula>ISTEXT(E42)</formula>
    </cfRule>
  </conditionalFormatting>
  <conditionalFormatting sqref="E43">
    <cfRule type="expression" dxfId="25" priority="49">
      <formula>ISTEXT(E43)</formula>
    </cfRule>
  </conditionalFormatting>
  <conditionalFormatting sqref="E44:E46">
    <cfRule type="expression" dxfId="24" priority="48">
      <formula>ISTEXT(E44)</formula>
    </cfRule>
  </conditionalFormatting>
  <conditionalFormatting sqref="E48:E50">
    <cfRule type="expression" dxfId="23" priority="47">
      <formula>ISTEXT(E48)</formula>
    </cfRule>
  </conditionalFormatting>
  <conditionalFormatting sqref="E52">
    <cfRule type="expression" dxfId="22" priority="42">
      <formula>ISTEXT(E52)</formula>
    </cfRule>
  </conditionalFormatting>
  <conditionalFormatting sqref="E53">
    <cfRule type="expression" dxfId="21" priority="41">
      <formula>ISTEXT(E53)</formula>
    </cfRule>
  </conditionalFormatting>
  <conditionalFormatting sqref="E55">
    <cfRule type="expression" dxfId="20" priority="39">
      <formula>ISTEXT(E55)</formula>
    </cfRule>
  </conditionalFormatting>
  <conditionalFormatting sqref="E56">
    <cfRule type="expression" dxfId="19" priority="38">
      <formula>ISTEXT(E56)</formula>
    </cfRule>
  </conditionalFormatting>
  <conditionalFormatting sqref="E57">
    <cfRule type="expression" dxfId="18" priority="37">
      <formula>ISTEXT(E57)</formula>
    </cfRule>
  </conditionalFormatting>
  <conditionalFormatting sqref="E58:E60">
    <cfRule type="expression" dxfId="17" priority="35">
      <formula>ISTEXT(E58)</formula>
    </cfRule>
  </conditionalFormatting>
  <conditionalFormatting sqref="E61">
    <cfRule type="expression" dxfId="16" priority="34">
      <formula>ISTEXT(E61)</formula>
    </cfRule>
  </conditionalFormatting>
  <conditionalFormatting sqref="E63:E65">
    <cfRule type="expression" dxfId="15" priority="33">
      <formula>ISTEXT(E63)</formula>
    </cfRule>
  </conditionalFormatting>
  <conditionalFormatting sqref="E67">
    <cfRule type="expression" dxfId="14" priority="28">
      <formula>ISTEXT(E67)</formula>
    </cfRule>
  </conditionalFormatting>
  <conditionalFormatting sqref="E68">
    <cfRule type="expression" dxfId="13" priority="27">
      <formula>ISTEXT(E68)</formula>
    </cfRule>
  </conditionalFormatting>
  <conditionalFormatting sqref="E70">
    <cfRule type="expression" dxfId="12" priority="25">
      <formula>ISTEXT(E70)</formula>
    </cfRule>
  </conditionalFormatting>
  <conditionalFormatting sqref="E71">
    <cfRule type="expression" dxfId="11" priority="24">
      <formula>ISTEXT(E71)</formula>
    </cfRule>
  </conditionalFormatting>
  <conditionalFormatting sqref="E72">
    <cfRule type="expression" dxfId="10" priority="23">
      <formula>ISTEXT(E72)</formula>
    </cfRule>
  </conditionalFormatting>
  <conditionalFormatting sqref="E73:E76">
    <cfRule type="expression" dxfId="9" priority="22">
      <formula>ISTEXT(E73)</formula>
    </cfRule>
  </conditionalFormatting>
  <conditionalFormatting sqref="E78:E80">
    <cfRule type="expression" dxfId="8" priority="21">
      <formula>ISTEXT(E78)</formula>
    </cfRule>
  </conditionalFormatting>
  <conditionalFormatting sqref="E82">
    <cfRule type="expression" dxfId="7" priority="16">
      <formula>ISTEXT(E82)</formula>
    </cfRule>
  </conditionalFormatting>
  <conditionalFormatting sqref="E84">
    <cfRule type="expression" dxfId="6" priority="14">
      <formula>ISTEXT(E84)</formula>
    </cfRule>
  </conditionalFormatting>
  <conditionalFormatting sqref="E86">
    <cfRule type="expression" dxfId="5" priority="13">
      <formula>ISTEXT(E86)</formula>
    </cfRule>
  </conditionalFormatting>
  <conditionalFormatting sqref="E88">
    <cfRule type="expression" dxfId="4" priority="12">
      <formula>ISTEXT(E88)</formula>
    </cfRule>
  </conditionalFormatting>
  <conditionalFormatting sqref="E89:E90">
    <cfRule type="expression" dxfId="3" priority="11">
      <formula>ISTEXT(E89)</formula>
    </cfRule>
  </conditionalFormatting>
  <conditionalFormatting sqref="E92:E94">
    <cfRule type="expression" dxfId="2" priority="9">
      <formula>ISTEXT(E92)</formula>
    </cfRule>
  </conditionalFormatting>
  <conditionalFormatting sqref="E95:E96">
    <cfRule type="expression" dxfId="1" priority="2">
      <formula>ISTEXT(E95)</formula>
    </cfRule>
  </conditionalFormatting>
  <dataValidations xWindow="521" yWindow="482" count="5">
    <dataValidation type="list" allowBlank="1" showInputMessage="1" showErrorMessage="1" sqref="C6:C28 C41:C51 C55:C66 C84:C94 C70:C81" xr:uid="{00000000-0002-0000-0000-000000000000}">
      <formula1>과목유형</formula1>
    </dataValidation>
    <dataValidation type="list" allowBlank="1" showInputMessage="1" showErrorMessage="1" sqref="B6:B9 B11:B98" xr:uid="{00000000-0002-0000-0000-000001000000}">
      <formula1>교과군</formula1>
    </dataValidation>
    <dataValidation type="list" allowBlank="1" showInputMessage="1" showErrorMessage="1" sqref="C29:C40 C67:C69 C82:C83 C52:C54 C95:C98" xr:uid="{00000000-0002-0000-0000-000002000000}">
      <formula1>과목유형2</formula1>
    </dataValidation>
    <dataValidation type="list" allowBlank="1" showInputMessage="1" sqref="N98 M6:M98" xr:uid="{00000000-0002-0000-0000-000003000000}">
      <formula1>비고</formula1>
    </dataValidation>
    <dataValidation type="list" allowBlank="1" showInputMessage="1" sqref="N6:N97" xr:uid="{00000000-0002-0000-0000-000004000000}">
      <formula1>과목개설유형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8" scale="66" fitToWidth="0" orientation="portrait" r:id="rId1"/>
  <ignoredErrors>
    <ignoredError sqref="I101:K101 O100 O6 O11 O16 O21 O23 O25 O29 O35 O39" formulaRange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OR(F6&lt;INDEX(데이터베이스!F:F,MATCH(D6,데이터베이스!D:D,0)), F6&gt;INDEX(데이터베이스!G:G,MATCH(D6,데이터베이스!D:D,0)))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F43:F98 F6:F41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INDIRECT(VLOOKUP(LOOKUP(2,1/(B$6:B6&lt;&gt;""),B$6:B6), 데이터베이스!A:B, 2, FALSE) &amp; C6)</xm:f>
          </x14:formula1>
          <xm:sqref>D6:D98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/>
  <cols>
    <col min="1" max="1" width="15.8984375" style="100" customWidth="1"/>
    <col min="2" max="3" width="10.59765625" style="100" customWidth="1"/>
    <col min="4" max="16384" width="8.796875" style="100"/>
  </cols>
  <sheetData>
    <row r="1" spans="1:39" ht="26.4">
      <c r="A1" s="110" t="s">
        <v>3</v>
      </c>
      <c r="B1" s="111" t="s">
        <v>191</v>
      </c>
      <c r="C1" s="111" t="s">
        <v>239</v>
      </c>
      <c r="D1" s="98" t="s">
        <v>12</v>
      </c>
      <c r="E1" s="99" t="s">
        <v>201</v>
      </c>
      <c r="F1" s="99" t="s">
        <v>202</v>
      </c>
      <c r="G1" s="99" t="s">
        <v>203</v>
      </c>
      <c r="H1" s="99" t="s">
        <v>204</v>
      </c>
      <c r="I1" s="99" t="s">
        <v>205</v>
      </c>
      <c r="J1" s="99" t="s">
        <v>206</v>
      </c>
      <c r="K1" s="99" t="s">
        <v>207</v>
      </c>
      <c r="L1" s="99" t="s">
        <v>208</v>
      </c>
      <c r="M1" s="99" t="s">
        <v>209</v>
      </c>
      <c r="N1" s="99" t="s">
        <v>210</v>
      </c>
      <c r="O1" s="99" t="s">
        <v>211</v>
      </c>
      <c r="P1" s="99" t="s">
        <v>212</v>
      </c>
      <c r="Q1" s="99" t="s">
        <v>213</v>
      </c>
      <c r="R1" s="99" t="s">
        <v>214</v>
      </c>
      <c r="S1" s="99" t="s">
        <v>215</v>
      </c>
      <c r="T1" s="99" t="s">
        <v>216</v>
      </c>
      <c r="U1" s="99" t="s">
        <v>217</v>
      </c>
      <c r="V1" s="99" t="s">
        <v>218</v>
      </c>
      <c r="W1" s="99" t="s">
        <v>219</v>
      </c>
      <c r="X1" s="99" t="s">
        <v>220</v>
      </c>
      <c r="Y1" s="99" t="s">
        <v>221</v>
      </c>
      <c r="Z1" s="99" t="s">
        <v>222</v>
      </c>
      <c r="AA1" s="99" t="s">
        <v>223</v>
      </c>
      <c r="AB1" s="99" t="s">
        <v>224</v>
      </c>
      <c r="AC1" s="99" t="s">
        <v>225</v>
      </c>
      <c r="AD1" s="99" t="s">
        <v>226</v>
      </c>
      <c r="AE1" s="99" t="s">
        <v>227</v>
      </c>
      <c r="AF1" s="99" t="s">
        <v>228</v>
      </c>
      <c r="AG1" s="99" t="s">
        <v>229</v>
      </c>
      <c r="AH1" s="99" t="s">
        <v>230</v>
      </c>
      <c r="AI1" s="99" t="s">
        <v>231</v>
      </c>
      <c r="AJ1" s="99" t="s">
        <v>232</v>
      </c>
      <c r="AK1" s="99" t="s">
        <v>233</v>
      </c>
      <c r="AL1" s="99" t="s">
        <v>234</v>
      </c>
      <c r="AM1" s="99" t="s">
        <v>235</v>
      </c>
    </row>
    <row r="2" spans="1:39">
      <c r="A2" s="110" t="s">
        <v>6</v>
      </c>
      <c r="B2" s="110" t="s">
        <v>192</v>
      </c>
      <c r="C2" s="110" t="s">
        <v>240</v>
      </c>
      <c r="D2" s="98" t="s">
        <v>15</v>
      </c>
      <c r="E2" s="101" t="s">
        <v>26</v>
      </c>
      <c r="F2" s="101" t="s">
        <v>55</v>
      </c>
      <c r="G2" s="101" t="s">
        <v>57</v>
      </c>
      <c r="H2" s="101" t="s">
        <v>58</v>
      </c>
      <c r="I2" s="101" t="s">
        <v>27</v>
      </c>
      <c r="J2" s="101" t="s">
        <v>53</v>
      </c>
      <c r="K2" s="101" t="s">
        <v>104</v>
      </c>
      <c r="L2" s="101" t="s">
        <v>60</v>
      </c>
      <c r="M2" s="101" t="s">
        <v>28</v>
      </c>
      <c r="N2" s="101" t="s">
        <v>54</v>
      </c>
      <c r="O2" s="101" t="s">
        <v>100</v>
      </c>
      <c r="P2" s="101" t="s">
        <v>62</v>
      </c>
      <c r="Q2" s="101" t="s">
        <v>113</v>
      </c>
      <c r="R2" s="101" t="s">
        <v>64</v>
      </c>
      <c r="S2" s="102" t="s">
        <v>140</v>
      </c>
      <c r="T2" s="101" t="s">
        <v>65</v>
      </c>
      <c r="U2" s="101" t="s">
        <v>117</v>
      </c>
      <c r="V2" s="101" t="s">
        <v>124</v>
      </c>
      <c r="W2" s="101" t="s">
        <v>66</v>
      </c>
      <c r="X2" s="101" t="s">
        <v>166</v>
      </c>
      <c r="Y2" s="102" t="s">
        <v>128</v>
      </c>
      <c r="Z2" s="101" t="s">
        <v>152</v>
      </c>
      <c r="AA2" s="101" t="s">
        <v>169</v>
      </c>
      <c r="AB2" s="101" t="s">
        <v>130</v>
      </c>
      <c r="AC2" s="101" t="s">
        <v>69</v>
      </c>
      <c r="AD2" s="101" t="s">
        <v>70</v>
      </c>
      <c r="AE2" s="101" t="s">
        <v>111</v>
      </c>
      <c r="AF2" s="101" t="s">
        <v>153</v>
      </c>
      <c r="AG2" s="101" t="s">
        <v>73</v>
      </c>
      <c r="AH2" s="101" t="s">
        <v>82</v>
      </c>
      <c r="AI2" s="102" t="s">
        <v>157</v>
      </c>
      <c r="AJ2" s="101" t="s">
        <v>173</v>
      </c>
      <c r="AK2" s="101" t="s">
        <v>75</v>
      </c>
      <c r="AL2" s="102" t="s">
        <v>87</v>
      </c>
      <c r="AM2" s="101" t="s">
        <v>89</v>
      </c>
    </row>
    <row r="3" spans="1:39">
      <c r="A3" s="110" t="s">
        <v>7</v>
      </c>
      <c r="B3" s="110" t="s">
        <v>193</v>
      </c>
      <c r="C3" s="110" t="s">
        <v>240</v>
      </c>
      <c r="D3" s="98" t="s">
        <v>17</v>
      </c>
      <c r="E3" s="101" t="s">
        <v>30</v>
      </c>
      <c r="F3" s="101" t="s">
        <v>56</v>
      </c>
      <c r="G3" s="101" t="s">
        <v>76</v>
      </c>
      <c r="H3" s="101" t="s">
        <v>59</v>
      </c>
      <c r="I3" s="101" t="s">
        <v>33</v>
      </c>
      <c r="J3" s="101" t="s">
        <v>52</v>
      </c>
      <c r="K3" s="101" t="s">
        <v>105</v>
      </c>
      <c r="L3" s="101" t="s">
        <v>61</v>
      </c>
      <c r="M3" s="101" t="s">
        <v>39</v>
      </c>
      <c r="N3" s="102" t="s">
        <v>77</v>
      </c>
      <c r="O3" s="102" t="s">
        <v>78</v>
      </c>
      <c r="P3" s="101" t="s">
        <v>63</v>
      </c>
      <c r="Q3" s="101" t="s">
        <v>114</v>
      </c>
      <c r="R3" s="101" t="s">
        <v>121</v>
      </c>
      <c r="S3" s="101" t="s">
        <v>141</v>
      </c>
      <c r="T3" s="101" t="s">
        <v>161</v>
      </c>
      <c r="U3" s="101" t="s">
        <v>118</v>
      </c>
      <c r="V3" s="102" t="s">
        <v>125</v>
      </c>
      <c r="W3" s="101" t="s">
        <v>67</v>
      </c>
      <c r="X3" s="101" t="s">
        <v>167</v>
      </c>
      <c r="Y3" s="102" t="s">
        <v>129</v>
      </c>
      <c r="Z3" s="101" t="s">
        <v>108</v>
      </c>
      <c r="AA3" s="101" t="s">
        <v>170</v>
      </c>
      <c r="AB3" s="101" t="s">
        <v>80</v>
      </c>
      <c r="AC3" s="101" t="s">
        <v>71</v>
      </c>
      <c r="AD3" s="101" t="s">
        <v>46</v>
      </c>
      <c r="AE3" s="101" t="s">
        <v>47</v>
      </c>
      <c r="AF3" s="101" t="s">
        <v>154</v>
      </c>
      <c r="AG3" s="101" t="s">
        <v>74</v>
      </c>
      <c r="AH3" s="101" t="s">
        <v>131</v>
      </c>
      <c r="AI3" s="101" t="s">
        <v>158</v>
      </c>
      <c r="AJ3" s="101" t="s">
        <v>174</v>
      </c>
      <c r="AK3" s="101" t="s">
        <v>51</v>
      </c>
      <c r="AL3" s="101" t="s">
        <v>97</v>
      </c>
      <c r="AM3" s="101" t="s">
        <v>177</v>
      </c>
    </row>
    <row r="4" spans="1:39">
      <c r="A4" s="110" t="s">
        <v>16</v>
      </c>
      <c r="B4" s="110" t="s">
        <v>194</v>
      </c>
      <c r="C4" s="110" t="s">
        <v>240</v>
      </c>
      <c r="D4" s="98" t="s">
        <v>19</v>
      </c>
      <c r="E4" s="103"/>
      <c r="F4" s="101" t="s">
        <v>29</v>
      </c>
      <c r="G4" s="101" t="s">
        <v>31</v>
      </c>
      <c r="H4" s="101" t="s">
        <v>32</v>
      </c>
      <c r="I4" s="101" t="s">
        <v>37</v>
      </c>
      <c r="J4" s="101" t="s">
        <v>34</v>
      </c>
      <c r="K4" s="101" t="s">
        <v>107</v>
      </c>
      <c r="L4" s="101" t="s">
        <v>36</v>
      </c>
      <c r="M4" s="101" t="s">
        <v>42</v>
      </c>
      <c r="N4" s="101" t="s">
        <v>40</v>
      </c>
      <c r="O4" s="102" t="s">
        <v>137</v>
      </c>
      <c r="P4" s="101" t="s">
        <v>41</v>
      </c>
      <c r="Q4" s="101" t="s">
        <v>115</v>
      </c>
      <c r="R4" s="101" t="s">
        <v>122</v>
      </c>
      <c r="S4" s="101" t="s">
        <v>142</v>
      </c>
      <c r="T4" s="101" t="s">
        <v>162</v>
      </c>
      <c r="U4" s="101" t="s">
        <v>119</v>
      </c>
      <c r="V4" s="101" t="s">
        <v>126</v>
      </c>
      <c r="W4" s="101" t="s">
        <v>68</v>
      </c>
      <c r="X4" s="101" t="s">
        <v>168</v>
      </c>
      <c r="Z4" s="101" t="s">
        <v>109</v>
      </c>
      <c r="AB4" s="101" t="s">
        <v>81</v>
      </c>
      <c r="AC4" s="101" t="s">
        <v>72</v>
      </c>
      <c r="AF4" s="102" t="s">
        <v>155</v>
      </c>
      <c r="AG4" s="101" t="s">
        <v>110</v>
      </c>
      <c r="AH4" s="101" t="s">
        <v>132</v>
      </c>
      <c r="AI4" s="102" t="s">
        <v>159</v>
      </c>
      <c r="AJ4" s="101" t="s">
        <v>175</v>
      </c>
      <c r="AL4" s="102" t="s">
        <v>88</v>
      </c>
    </row>
    <row r="5" spans="1:39" ht="26.4">
      <c r="A5" s="111" t="s">
        <v>185</v>
      </c>
      <c r="B5" s="110" t="s">
        <v>195</v>
      </c>
      <c r="C5" s="110" t="s">
        <v>240</v>
      </c>
      <c r="D5" s="98" t="s">
        <v>112</v>
      </c>
      <c r="E5" s="103"/>
      <c r="F5" s="103"/>
      <c r="G5" s="103"/>
      <c r="H5" s="103"/>
      <c r="I5" s="101" t="s">
        <v>38</v>
      </c>
      <c r="J5" s="103"/>
      <c r="K5" s="101" t="s">
        <v>106</v>
      </c>
      <c r="L5" s="103"/>
      <c r="M5" s="101" t="s">
        <v>43</v>
      </c>
      <c r="N5" s="104"/>
      <c r="O5" s="101" t="s">
        <v>138</v>
      </c>
      <c r="P5" s="104"/>
      <c r="Q5" s="101" t="s">
        <v>116</v>
      </c>
      <c r="R5" s="101" t="s">
        <v>123</v>
      </c>
      <c r="S5" s="101" t="s">
        <v>143</v>
      </c>
      <c r="T5" s="101" t="s">
        <v>163</v>
      </c>
      <c r="U5" s="101" t="s">
        <v>120</v>
      </c>
      <c r="V5" s="102" t="s">
        <v>127</v>
      </c>
      <c r="W5" s="101" t="s">
        <v>147</v>
      </c>
      <c r="AC5" s="101" t="s">
        <v>45</v>
      </c>
      <c r="AF5" s="102" t="s">
        <v>156</v>
      </c>
      <c r="AG5" s="101" t="s">
        <v>171</v>
      </c>
      <c r="AH5" s="101" t="s">
        <v>133</v>
      </c>
      <c r="AI5" s="101" t="s">
        <v>160</v>
      </c>
      <c r="AJ5" s="101" t="s">
        <v>176</v>
      </c>
      <c r="AL5" s="101" t="s">
        <v>98</v>
      </c>
    </row>
    <row r="6" spans="1:39">
      <c r="A6" s="110" t="s">
        <v>8</v>
      </c>
      <c r="B6" s="110" t="s">
        <v>196</v>
      </c>
      <c r="C6" s="110" t="s">
        <v>240</v>
      </c>
      <c r="E6" s="103"/>
      <c r="F6" s="103"/>
      <c r="G6" s="103"/>
      <c r="H6" s="103"/>
      <c r="I6" s="103"/>
      <c r="J6" s="103"/>
      <c r="K6" s="101" t="s">
        <v>35</v>
      </c>
      <c r="L6" s="103"/>
      <c r="M6" s="103"/>
      <c r="N6" s="103"/>
      <c r="O6" s="101" t="s">
        <v>139</v>
      </c>
      <c r="P6" s="104"/>
      <c r="S6" s="102" t="s">
        <v>144</v>
      </c>
      <c r="T6" s="101" t="s">
        <v>164</v>
      </c>
      <c r="W6" s="101" t="s">
        <v>148</v>
      </c>
      <c r="AG6" s="101" t="s">
        <v>172</v>
      </c>
      <c r="AH6" s="101" t="s">
        <v>134</v>
      </c>
      <c r="AI6" s="102" t="s">
        <v>83</v>
      </c>
      <c r="AJ6" s="101" t="s">
        <v>85</v>
      </c>
      <c r="AL6" s="102" t="s">
        <v>90</v>
      </c>
    </row>
    <row r="7" spans="1:39">
      <c r="A7" s="110" t="s">
        <v>9</v>
      </c>
      <c r="B7" s="110" t="s">
        <v>197</v>
      </c>
      <c r="C7" s="110" t="s">
        <v>241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5"/>
      <c r="P7" s="104"/>
      <c r="S7" s="102" t="s">
        <v>145</v>
      </c>
      <c r="T7" s="101" t="s">
        <v>165</v>
      </c>
      <c r="W7" s="101" t="s">
        <v>149</v>
      </c>
      <c r="AH7" s="101" t="s">
        <v>135</v>
      </c>
      <c r="AI7" s="101" t="s">
        <v>92</v>
      </c>
      <c r="AJ7" s="101" t="s">
        <v>95</v>
      </c>
      <c r="AL7" s="101" t="s">
        <v>99</v>
      </c>
    </row>
    <row r="8" spans="1:39">
      <c r="A8" s="110" t="s">
        <v>10</v>
      </c>
      <c r="B8" s="110" t="s">
        <v>198</v>
      </c>
      <c r="C8" s="110" t="s">
        <v>241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5"/>
      <c r="P8" s="103"/>
      <c r="S8" s="102" t="s">
        <v>146</v>
      </c>
      <c r="W8" s="101" t="s">
        <v>150</v>
      </c>
      <c r="AH8" s="101" t="s">
        <v>136</v>
      </c>
      <c r="AI8" s="102" t="s">
        <v>84</v>
      </c>
      <c r="AJ8" s="101" t="s">
        <v>86</v>
      </c>
    </row>
    <row r="9" spans="1:39">
      <c r="A9" s="110" t="s">
        <v>188</v>
      </c>
      <c r="B9" s="110" t="s">
        <v>199</v>
      </c>
      <c r="C9" s="110" t="s">
        <v>241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103"/>
      <c r="S9" s="101" t="s">
        <v>79</v>
      </c>
      <c r="W9" s="101" t="s">
        <v>151</v>
      </c>
      <c r="AH9" s="101" t="s">
        <v>91</v>
      </c>
      <c r="AI9" s="101" t="s">
        <v>93</v>
      </c>
      <c r="AJ9" s="101" t="s">
        <v>96</v>
      </c>
    </row>
    <row r="10" spans="1:39">
      <c r="A10" s="110" t="s">
        <v>102</v>
      </c>
      <c r="B10" s="110" t="s">
        <v>200</v>
      </c>
      <c r="C10" s="110" t="s">
        <v>241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103"/>
      <c r="S10" s="101" t="s">
        <v>44</v>
      </c>
      <c r="AH10" s="101" t="s">
        <v>48</v>
      </c>
      <c r="AI10" s="102" t="s">
        <v>178</v>
      </c>
      <c r="AJ10" s="101" t="s">
        <v>50</v>
      </c>
    </row>
    <row r="11" spans="1:39">
      <c r="A11" s="110" t="s">
        <v>190</v>
      </c>
      <c r="B11" s="110" t="s">
        <v>101</v>
      </c>
      <c r="C11" s="110" t="s">
        <v>241</v>
      </c>
      <c r="AI11" s="101" t="s">
        <v>179</v>
      </c>
    </row>
    <row r="12" spans="1:39">
      <c r="AI12" s="102" t="s">
        <v>180</v>
      </c>
    </row>
    <row r="13" spans="1:39">
      <c r="D13" s="108" t="s">
        <v>236</v>
      </c>
      <c r="E13" s="108" t="s">
        <v>261</v>
      </c>
      <c r="F13" s="108" t="s">
        <v>237</v>
      </c>
      <c r="G13" s="108" t="s">
        <v>238</v>
      </c>
      <c r="J13" s="167" t="s">
        <v>245</v>
      </c>
      <c r="K13" s="168" t="s">
        <v>243</v>
      </c>
      <c r="AI13" s="101" t="s">
        <v>181</v>
      </c>
    </row>
    <row r="14" spans="1:39">
      <c r="D14" s="106" t="s">
        <v>26</v>
      </c>
      <c r="E14" s="108">
        <v>4</v>
      </c>
      <c r="F14" s="108">
        <v>3</v>
      </c>
      <c r="G14" s="108">
        <v>4</v>
      </c>
      <c r="J14" s="167" t="s">
        <v>246</v>
      </c>
      <c r="K14" s="168" t="s">
        <v>254</v>
      </c>
      <c r="AI14" s="102" t="s">
        <v>182</v>
      </c>
    </row>
    <row r="15" spans="1:39">
      <c r="D15" s="106" t="s">
        <v>30</v>
      </c>
      <c r="E15" s="108">
        <v>4</v>
      </c>
      <c r="F15" s="108">
        <v>3</v>
      </c>
      <c r="G15" s="108">
        <v>4</v>
      </c>
      <c r="J15" s="167" t="s">
        <v>247</v>
      </c>
      <c r="K15" s="168" t="s">
        <v>255</v>
      </c>
      <c r="AI15" s="101" t="s">
        <v>183</v>
      </c>
    </row>
    <row r="16" spans="1:39">
      <c r="D16" s="106" t="s">
        <v>27</v>
      </c>
      <c r="E16" s="108">
        <v>4</v>
      </c>
      <c r="F16" s="108">
        <v>3</v>
      </c>
      <c r="G16" s="108">
        <v>4</v>
      </c>
      <c r="J16" s="167" t="s">
        <v>248</v>
      </c>
      <c r="K16" s="168" t="s">
        <v>256</v>
      </c>
      <c r="AI16" s="102" t="s">
        <v>184</v>
      </c>
    </row>
    <row r="17" spans="4:35">
      <c r="D17" s="106" t="s">
        <v>33</v>
      </c>
      <c r="E17" s="108">
        <v>4</v>
      </c>
      <c r="F17" s="108">
        <v>3</v>
      </c>
      <c r="G17" s="108">
        <v>4</v>
      </c>
      <c r="J17" s="167" t="s">
        <v>249</v>
      </c>
      <c r="AI17" s="101" t="s">
        <v>94</v>
      </c>
    </row>
    <row r="18" spans="4:35">
      <c r="D18" s="106" t="s">
        <v>37</v>
      </c>
      <c r="E18" s="108">
        <v>4</v>
      </c>
      <c r="F18" s="108">
        <v>3</v>
      </c>
      <c r="G18" s="108">
        <v>4</v>
      </c>
      <c r="J18" s="167" t="s">
        <v>250</v>
      </c>
      <c r="K18" s="217"/>
      <c r="AI18" s="101" t="s">
        <v>49</v>
      </c>
    </row>
    <row r="19" spans="4:35">
      <c r="D19" s="106" t="s">
        <v>38</v>
      </c>
      <c r="E19" s="108">
        <v>4</v>
      </c>
      <c r="F19" s="108">
        <v>3</v>
      </c>
      <c r="G19" s="108">
        <v>4</v>
      </c>
      <c r="J19" s="167" t="s">
        <v>251</v>
      </c>
      <c r="K19" s="217"/>
    </row>
    <row r="20" spans="4:35">
      <c r="D20" s="106" t="s">
        <v>28</v>
      </c>
      <c r="E20" s="108">
        <v>4</v>
      </c>
      <c r="F20" s="108">
        <v>3</v>
      </c>
      <c r="G20" s="108">
        <v>4</v>
      </c>
      <c r="J20" s="167" t="s">
        <v>252</v>
      </c>
      <c r="K20" s="217"/>
    </row>
    <row r="21" spans="4:35">
      <c r="D21" s="106" t="s">
        <v>39</v>
      </c>
      <c r="E21" s="108">
        <v>4</v>
      </c>
      <c r="F21" s="108">
        <v>3</v>
      </c>
      <c r="G21" s="108">
        <v>4</v>
      </c>
      <c r="J21" s="167" t="s">
        <v>253</v>
      </c>
      <c r="K21" s="217"/>
    </row>
    <row r="22" spans="4:35">
      <c r="D22" s="106" t="s">
        <v>42</v>
      </c>
      <c r="E22" s="108">
        <v>4</v>
      </c>
      <c r="F22" s="108">
        <v>3</v>
      </c>
      <c r="G22" s="108">
        <v>4</v>
      </c>
      <c r="J22" s="167"/>
      <c r="K22" s="218"/>
    </row>
    <row r="23" spans="4:35">
      <c r="D23" s="106" t="s">
        <v>43</v>
      </c>
      <c r="E23" s="108">
        <v>4</v>
      </c>
      <c r="F23" s="108">
        <v>3</v>
      </c>
      <c r="G23" s="108">
        <v>4</v>
      </c>
    </row>
    <row r="24" spans="4:35">
      <c r="D24" s="106" t="s">
        <v>113</v>
      </c>
      <c r="E24" s="108">
        <v>3</v>
      </c>
      <c r="F24" s="108">
        <v>3</v>
      </c>
      <c r="G24" s="108">
        <v>3</v>
      </c>
    </row>
    <row r="25" spans="4:35">
      <c r="D25" s="106" t="s">
        <v>114</v>
      </c>
      <c r="E25" s="108">
        <v>3</v>
      </c>
      <c r="F25" s="108">
        <v>3</v>
      </c>
      <c r="G25" s="108">
        <v>3</v>
      </c>
    </row>
    <row r="26" spans="4:35">
      <c r="D26" s="106" t="s">
        <v>115</v>
      </c>
      <c r="E26" s="108">
        <v>4</v>
      </c>
      <c r="F26" s="108">
        <v>3</v>
      </c>
      <c r="G26" s="108">
        <v>4</v>
      </c>
    </row>
    <row r="27" spans="4:35">
      <c r="D27" s="106" t="s">
        <v>116</v>
      </c>
      <c r="E27" s="108">
        <v>4</v>
      </c>
      <c r="F27" s="108">
        <v>3</v>
      </c>
      <c r="G27" s="108">
        <v>4</v>
      </c>
    </row>
    <row r="28" spans="4:35">
      <c r="D28" s="106" t="s">
        <v>117</v>
      </c>
      <c r="E28" s="108">
        <v>4</v>
      </c>
      <c r="F28" s="108">
        <v>3</v>
      </c>
      <c r="G28" s="108">
        <v>4</v>
      </c>
    </row>
    <row r="29" spans="4:35">
      <c r="D29" s="106" t="s">
        <v>118</v>
      </c>
      <c r="E29" s="108">
        <v>4</v>
      </c>
      <c r="F29" s="108">
        <v>3</v>
      </c>
      <c r="G29" s="108">
        <v>4</v>
      </c>
    </row>
    <row r="30" spans="4:35">
      <c r="D30" s="106" t="s">
        <v>119</v>
      </c>
      <c r="E30" s="108">
        <v>1</v>
      </c>
      <c r="F30" s="108">
        <v>1</v>
      </c>
      <c r="G30" s="108">
        <v>1</v>
      </c>
    </row>
    <row r="31" spans="4:35">
      <c r="D31" s="106" t="s">
        <v>120</v>
      </c>
      <c r="E31" s="108">
        <v>1</v>
      </c>
      <c r="F31" s="108">
        <v>1</v>
      </c>
      <c r="G31" s="108">
        <v>1</v>
      </c>
    </row>
    <row r="32" spans="4:35">
      <c r="D32" s="106" t="s">
        <v>55</v>
      </c>
      <c r="E32" s="108">
        <v>4</v>
      </c>
      <c r="F32" s="108">
        <v>3</v>
      </c>
      <c r="G32" s="108">
        <v>5</v>
      </c>
    </row>
    <row r="33" spans="4:7">
      <c r="D33" s="106" t="s">
        <v>56</v>
      </c>
      <c r="E33" s="108">
        <v>4</v>
      </c>
      <c r="F33" s="108">
        <v>3</v>
      </c>
      <c r="G33" s="108">
        <v>5</v>
      </c>
    </row>
    <row r="34" spans="4:7">
      <c r="D34" s="106" t="s">
        <v>29</v>
      </c>
      <c r="E34" s="108">
        <v>4</v>
      </c>
      <c r="F34" s="108">
        <v>3</v>
      </c>
      <c r="G34" s="108">
        <v>5</v>
      </c>
    </row>
    <row r="35" spans="4:7">
      <c r="D35" s="106" t="s">
        <v>53</v>
      </c>
      <c r="E35" s="108">
        <v>4</v>
      </c>
      <c r="F35" s="108">
        <v>3</v>
      </c>
      <c r="G35" s="108">
        <v>5</v>
      </c>
    </row>
    <row r="36" spans="4:7">
      <c r="D36" s="106" t="s">
        <v>52</v>
      </c>
      <c r="E36" s="108">
        <v>4</v>
      </c>
      <c r="F36" s="108">
        <v>3</v>
      </c>
      <c r="G36" s="108">
        <v>5</v>
      </c>
    </row>
    <row r="37" spans="4:7">
      <c r="D37" s="106" t="s">
        <v>34</v>
      </c>
      <c r="E37" s="108">
        <v>4</v>
      </c>
      <c r="F37" s="108">
        <v>3</v>
      </c>
      <c r="G37" s="108">
        <v>5</v>
      </c>
    </row>
    <row r="38" spans="4:7">
      <c r="D38" s="106" t="s">
        <v>54</v>
      </c>
      <c r="E38" s="108">
        <v>4</v>
      </c>
      <c r="F38" s="108">
        <v>3</v>
      </c>
      <c r="G38" s="108">
        <v>5</v>
      </c>
    </row>
    <row r="39" spans="4:7">
      <c r="D39" s="107" t="s">
        <v>77</v>
      </c>
      <c r="E39" s="108">
        <v>4</v>
      </c>
      <c r="F39" s="108">
        <v>3</v>
      </c>
      <c r="G39" s="108">
        <v>5</v>
      </c>
    </row>
    <row r="40" spans="4:7">
      <c r="D40" s="106" t="s">
        <v>40</v>
      </c>
      <c r="E40" s="108">
        <v>4</v>
      </c>
      <c r="F40" s="108">
        <v>3</v>
      </c>
      <c r="G40" s="108">
        <v>5</v>
      </c>
    </row>
    <row r="41" spans="4:7">
      <c r="D41" s="106" t="s">
        <v>64</v>
      </c>
      <c r="E41" s="108">
        <v>4</v>
      </c>
      <c r="F41" s="108">
        <v>3</v>
      </c>
      <c r="G41" s="108">
        <v>5</v>
      </c>
    </row>
    <row r="42" spans="4:7">
      <c r="D42" s="106" t="s">
        <v>121</v>
      </c>
      <c r="E42" s="108">
        <v>4</v>
      </c>
      <c r="F42" s="108">
        <v>3</v>
      </c>
      <c r="G42" s="108">
        <v>5</v>
      </c>
    </row>
    <row r="43" spans="4:7">
      <c r="D43" s="106" t="s">
        <v>122</v>
      </c>
      <c r="E43" s="108">
        <v>4</v>
      </c>
      <c r="F43" s="108">
        <v>3</v>
      </c>
      <c r="G43" s="108">
        <v>5</v>
      </c>
    </row>
    <row r="44" spans="4:7">
      <c r="D44" s="106" t="s">
        <v>123</v>
      </c>
      <c r="E44" s="108">
        <v>4</v>
      </c>
      <c r="F44" s="108">
        <v>3</v>
      </c>
      <c r="G44" s="108">
        <v>5</v>
      </c>
    </row>
    <row r="45" spans="4:7">
      <c r="D45" s="106" t="s">
        <v>124</v>
      </c>
      <c r="E45" s="108">
        <v>4</v>
      </c>
      <c r="F45" s="108">
        <v>3</v>
      </c>
      <c r="G45" s="108">
        <v>5</v>
      </c>
    </row>
    <row r="46" spans="4:7">
      <c r="D46" s="107" t="s">
        <v>125</v>
      </c>
      <c r="E46" s="108">
        <v>4</v>
      </c>
      <c r="F46" s="108">
        <v>3</v>
      </c>
      <c r="G46" s="108">
        <v>5</v>
      </c>
    </row>
    <row r="47" spans="4:7">
      <c r="D47" s="106" t="s">
        <v>126</v>
      </c>
      <c r="E47" s="108">
        <v>4</v>
      </c>
      <c r="F47" s="108">
        <v>3</v>
      </c>
      <c r="G47" s="108">
        <v>5</v>
      </c>
    </row>
    <row r="48" spans="4:7">
      <c r="D48" s="107" t="s">
        <v>127</v>
      </c>
      <c r="E48" s="108">
        <v>4</v>
      </c>
      <c r="F48" s="108">
        <v>3</v>
      </c>
      <c r="G48" s="108">
        <v>5</v>
      </c>
    </row>
    <row r="49" spans="4:7">
      <c r="D49" s="107" t="s">
        <v>128</v>
      </c>
      <c r="E49" s="108">
        <v>3</v>
      </c>
      <c r="F49" s="108">
        <v>2</v>
      </c>
      <c r="G49" s="108">
        <v>4</v>
      </c>
    </row>
    <row r="50" spans="4:7">
      <c r="D50" s="107" t="s">
        <v>129</v>
      </c>
      <c r="E50" s="108">
        <v>3</v>
      </c>
      <c r="F50" s="108">
        <v>2</v>
      </c>
      <c r="G50" s="108">
        <v>4</v>
      </c>
    </row>
    <row r="51" spans="4:7">
      <c r="D51" s="106" t="s">
        <v>130</v>
      </c>
      <c r="E51" s="108">
        <v>3</v>
      </c>
      <c r="F51" s="108">
        <v>2</v>
      </c>
      <c r="G51" s="108">
        <v>4</v>
      </c>
    </row>
    <row r="52" spans="4:7">
      <c r="D52" s="106" t="s">
        <v>80</v>
      </c>
      <c r="E52" s="108">
        <v>3</v>
      </c>
      <c r="F52" s="108">
        <v>2</v>
      </c>
      <c r="G52" s="108">
        <v>4</v>
      </c>
    </row>
    <row r="53" spans="4:7">
      <c r="D53" s="106" t="s">
        <v>81</v>
      </c>
      <c r="E53" s="108">
        <v>3</v>
      </c>
      <c r="F53" s="108">
        <v>2</v>
      </c>
      <c r="G53" s="108">
        <v>4</v>
      </c>
    </row>
    <row r="54" spans="4:7">
      <c r="D54" s="106" t="s">
        <v>111</v>
      </c>
      <c r="E54" s="108">
        <v>4</v>
      </c>
      <c r="F54" s="108">
        <v>3</v>
      </c>
      <c r="G54" s="108">
        <v>5</v>
      </c>
    </row>
    <row r="55" spans="4:7">
      <c r="D55" s="106" t="s">
        <v>47</v>
      </c>
      <c r="E55" s="108">
        <v>4</v>
      </c>
      <c r="F55" s="108">
        <v>3</v>
      </c>
      <c r="G55" s="108">
        <v>5</v>
      </c>
    </row>
    <row r="56" spans="4:7">
      <c r="D56" s="106" t="s">
        <v>82</v>
      </c>
      <c r="E56" s="108">
        <v>4</v>
      </c>
      <c r="F56" s="108">
        <v>3</v>
      </c>
      <c r="G56" s="108">
        <v>5</v>
      </c>
    </row>
    <row r="57" spans="4:7">
      <c r="D57" s="106" t="s">
        <v>131</v>
      </c>
      <c r="E57" s="108">
        <v>4</v>
      </c>
      <c r="F57" s="108">
        <v>3</v>
      </c>
      <c r="G57" s="108">
        <v>5</v>
      </c>
    </row>
    <row r="58" spans="4:7">
      <c r="D58" s="106" t="s">
        <v>132</v>
      </c>
      <c r="E58" s="108">
        <v>4</v>
      </c>
      <c r="F58" s="108">
        <v>3</v>
      </c>
      <c r="G58" s="108">
        <v>5</v>
      </c>
    </row>
    <row r="59" spans="4:7">
      <c r="D59" s="106" t="s">
        <v>133</v>
      </c>
      <c r="E59" s="108">
        <v>4</v>
      </c>
      <c r="F59" s="108">
        <v>3</v>
      </c>
      <c r="G59" s="108">
        <v>5</v>
      </c>
    </row>
    <row r="60" spans="4:7">
      <c r="D60" s="106" t="s">
        <v>134</v>
      </c>
      <c r="E60" s="108">
        <v>4</v>
      </c>
      <c r="F60" s="108">
        <v>3</v>
      </c>
      <c r="G60" s="108">
        <v>5</v>
      </c>
    </row>
    <row r="61" spans="4:7">
      <c r="D61" s="106" t="s">
        <v>135</v>
      </c>
      <c r="E61" s="108">
        <v>4</v>
      </c>
      <c r="F61" s="108">
        <v>3</v>
      </c>
      <c r="G61" s="108">
        <v>5</v>
      </c>
    </row>
    <row r="62" spans="4:7">
      <c r="D62" s="106" t="s">
        <v>136</v>
      </c>
      <c r="E62" s="108">
        <v>4</v>
      </c>
      <c r="F62" s="108">
        <v>3</v>
      </c>
      <c r="G62" s="108">
        <v>5</v>
      </c>
    </row>
    <row r="63" spans="4:7">
      <c r="D63" s="106" t="s">
        <v>91</v>
      </c>
      <c r="E63" s="108">
        <v>4</v>
      </c>
      <c r="F63" s="108">
        <v>3</v>
      </c>
      <c r="G63" s="108">
        <v>5</v>
      </c>
    </row>
    <row r="64" spans="4:7">
      <c r="D64" s="106" t="s">
        <v>48</v>
      </c>
      <c r="E64" s="108">
        <v>4</v>
      </c>
      <c r="F64" s="108">
        <v>3</v>
      </c>
      <c r="G64" s="108">
        <v>5</v>
      </c>
    </row>
    <row r="65" spans="4:7">
      <c r="D65" s="106" t="s">
        <v>75</v>
      </c>
      <c r="E65" s="108">
        <v>3</v>
      </c>
      <c r="F65" s="108">
        <v>2</v>
      </c>
      <c r="G65" s="108">
        <v>4</v>
      </c>
    </row>
    <row r="66" spans="4:7">
      <c r="D66" s="106" t="s">
        <v>51</v>
      </c>
      <c r="E66" s="108">
        <v>3</v>
      </c>
      <c r="F66" s="108">
        <v>2</v>
      </c>
      <c r="G66" s="108">
        <v>4</v>
      </c>
    </row>
    <row r="67" spans="4:7">
      <c r="D67" s="106" t="s">
        <v>57</v>
      </c>
      <c r="E67" s="108">
        <v>4</v>
      </c>
      <c r="F67" s="108">
        <v>3</v>
      </c>
      <c r="G67" s="108">
        <v>5</v>
      </c>
    </row>
    <row r="68" spans="4:7">
      <c r="D68" s="106" t="s">
        <v>76</v>
      </c>
      <c r="E68" s="108">
        <v>4</v>
      </c>
      <c r="F68" s="108">
        <v>3</v>
      </c>
      <c r="G68" s="108">
        <v>5</v>
      </c>
    </row>
    <row r="69" spans="4:7">
      <c r="D69" s="106" t="s">
        <v>31</v>
      </c>
      <c r="E69" s="108">
        <v>4</v>
      </c>
      <c r="F69" s="108">
        <v>3</v>
      </c>
      <c r="G69" s="108">
        <v>5</v>
      </c>
    </row>
    <row r="70" spans="4:7">
      <c r="D70" s="106" t="s">
        <v>104</v>
      </c>
      <c r="E70" s="108">
        <v>4</v>
      </c>
      <c r="F70" s="108">
        <v>3</v>
      </c>
      <c r="G70" s="108">
        <v>5</v>
      </c>
    </row>
    <row r="71" spans="4:7">
      <c r="D71" s="106" t="s">
        <v>105</v>
      </c>
      <c r="E71" s="108">
        <v>4</v>
      </c>
      <c r="F71" s="108">
        <v>3</v>
      </c>
      <c r="G71" s="108">
        <v>5</v>
      </c>
    </row>
    <row r="72" spans="4:7">
      <c r="D72" s="106" t="s">
        <v>107</v>
      </c>
      <c r="E72" s="108">
        <v>4</v>
      </c>
      <c r="F72" s="108">
        <v>3</v>
      </c>
      <c r="G72" s="108">
        <v>5</v>
      </c>
    </row>
    <row r="73" spans="4:7">
      <c r="D73" s="106" t="s">
        <v>106</v>
      </c>
      <c r="E73" s="108">
        <v>4</v>
      </c>
      <c r="F73" s="108">
        <v>3</v>
      </c>
      <c r="G73" s="108">
        <v>5</v>
      </c>
    </row>
    <row r="74" spans="4:7">
      <c r="D74" s="106" t="s">
        <v>35</v>
      </c>
      <c r="E74" s="108">
        <v>4</v>
      </c>
      <c r="F74" s="108">
        <v>3</v>
      </c>
      <c r="G74" s="108">
        <v>5</v>
      </c>
    </row>
    <row r="75" spans="4:7">
      <c r="D75" s="106" t="s">
        <v>100</v>
      </c>
      <c r="E75" s="108">
        <v>4</v>
      </c>
      <c r="F75" s="108">
        <v>3</v>
      </c>
      <c r="G75" s="108">
        <v>5</v>
      </c>
    </row>
    <row r="76" spans="4:7">
      <c r="D76" s="107" t="s">
        <v>78</v>
      </c>
      <c r="E76" s="108">
        <v>4</v>
      </c>
      <c r="F76" s="108">
        <v>3</v>
      </c>
      <c r="G76" s="108">
        <v>5</v>
      </c>
    </row>
    <row r="77" spans="4:7">
      <c r="D77" s="107" t="s">
        <v>137</v>
      </c>
      <c r="E77" s="108">
        <v>4</v>
      </c>
      <c r="F77" s="108">
        <v>3</v>
      </c>
      <c r="G77" s="108">
        <v>5</v>
      </c>
    </row>
    <row r="78" spans="4:7">
      <c r="D78" s="106" t="s">
        <v>138</v>
      </c>
      <c r="E78" s="108">
        <v>4</v>
      </c>
      <c r="F78" s="108">
        <v>3</v>
      </c>
      <c r="G78" s="108">
        <v>5</v>
      </c>
    </row>
    <row r="79" spans="4:7">
      <c r="D79" s="106" t="s">
        <v>139</v>
      </c>
      <c r="E79" s="108">
        <v>4</v>
      </c>
      <c r="F79" s="108">
        <v>3</v>
      </c>
      <c r="G79" s="108">
        <v>5</v>
      </c>
    </row>
    <row r="80" spans="4:7">
      <c r="D80" s="107" t="s">
        <v>140</v>
      </c>
      <c r="E80" s="108">
        <v>4</v>
      </c>
      <c r="F80" s="108">
        <v>3</v>
      </c>
      <c r="G80" s="108">
        <v>5</v>
      </c>
    </row>
    <row r="81" spans="4:7">
      <c r="D81" s="106" t="s">
        <v>141</v>
      </c>
      <c r="E81" s="108">
        <v>4</v>
      </c>
      <c r="F81" s="108">
        <v>3</v>
      </c>
      <c r="G81" s="108">
        <v>5</v>
      </c>
    </row>
    <row r="82" spans="4:7">
      <c r="D82" s="106" t="s">
        <v>142</v>
      </c>
      <c r="E82" s="108">
        <v>4</v>
      </c>
      <c r="F82" s="108">
        <v>3</v>
      </c>
      <c r="G82" s="108">
        <v>5</v>
      </c>
    </row>
    <row r="83" spans="4:7">
      <c r="D83" s="106" t="s">
        <v>143</v>
      </c>
      <c r="E83" s="108">
        <v>4</v>
      </c>
      <c r="F83" s="108">
        <v>3</v>
      </c>
      <c r="G83" s="108">
        <v>5</v>
      </c>
    </row>
    <row r="84" spans="4:7">
      <c r="D84" s="107" t="s">
        <v>144</v>
      </c>
      <c r="E84" s="108">
        <v>4</v>
      </c>
      <c r="F84" s="108">
        <v>3</v>
      </c>
      <c r="G84" s="108">
        <v>5</v>
      </c>
    </row>
    <row r="85" spans="4:7">
      <c r="D85" s="107" t="s">
        <v>145</v>
      </c>
      <c r="E85" s="108">
        <v>4</v>
      </c>
      <c r="F85" s="108">
        <v>3</v>
      </c>
      <c r="G85" s="108">
        <v>5</v>
      </c>
    </row>
    <row r="86" spans="4:7">
      <c r="D86" s="107" t="s">
        <v>146</v>
      </c>
      <c r="E86" s="108">
        <v>4</v>
      </c>
      <c r="F86" s="108">
        <v>3</v>
      </c>
      <c r="G86" s="108">
        <v>5</v>
      </c>
    </row>
    <row r="87" spans="4:7">
      <c r="D87" s="106" t="s">
        <v>79</v>
      </c>
      <c r="E87" s="108">
        <v>4</v>
      </c>
      <c r="F87" s="108">
        <v>3</v>
      </c>
      <c r="G87" s="108">
        <v>5</v>
      </c>
    </row>
    <row r="88" spans="4:7">
      <c r="D88" s="106" t="s">
        <v>44</v>
      </c>
      <c r="E88" s="108">
        <v>4</v>
      </c>
      <c r="F88" s="108">
        <v>3</v>
      </c>
      <c r="G88" s="108">
        <v>5</v>
      </c>
    </row>
    <row r="89" spans="4:7">
      <c r="D89" s="106" t="s">
        <v>66</v>
      </c>
      <c r="E89" s="108">
        <v>4</v>
      </c>
      <c r="F89" s="108">
        <v>3</v>
      </c>
      <c r="G89" s="108">
        <v>5</v>
      </c>
    </row>
    <row r="90" spans="4:7">
      <c r="D90" s="106" t="s">
        <v>67</v>
      </c>
      <c r="E90" s="108">
        <v>4</v>
      </c>
      <c r="F90" s="108">
        <v>3</v>
      </c>
      <c r="G90" s="108">
        <v>5</v>
      </c>
    </row>
    <row r="91" spans="4:7">
      <c r="D91" s="106" t="s">
        <v>68</v>
      </c>
      <c r="E91" s="108">
        <v>4</v>
      </c>
      <c r="F91" s="108">
        <v>3</v>
      </c>
      <c r="G91" s="108">
        <v>5</v>
      </c>
    </row>
    <row r="92" spans="4:7">
      <c r="D92" s="106" t="s">
        <v>147</v>
      </c>
      <c r="E92" s="108">
        <v>4</v>
      </c>
      <c r="F92" s="108">
        <v>3</v>
      </c>
      <c r="G92" s="108">
        <v>5</v>
      </c>
    </row>
    <row r="93" spans="4:7">
      <c r="D93" s="106" t="s">
        <v>148</v>
      </c>
      <c r="E93" s="108">
        <v>4</v>
      </c>
      <c r="F93" s="108">
        <v>3</v>
      </c>
      <c r="G93" s="108">
        <v>5</v>
      </c>
    </row>
    <row r="94" spans="4:7">
      <c r="D94" s="106" t="s">
        <v>149</v>
      </c>
      <c r="E94" s="108">
        <v>4</v>
      </c>
      <c r="F94" s="108">
        <v>3</v>
      </c>
      <c r="G94" s="108">
        <v>5</v>
      </c>
    </row>
    <row r="95" spans="4:7">
      <c r="D95" s="106" t="s">
        <v>150</v>
      </c>
      <c r="E95" s="108">
        <v>4</v>
      </c>
      <c r="F95" s="108">
        <v>3</v>
      </c>
      <c r="G95" s="108">
        <v>5</v>
      </c>
    </row>
    <row r="96" spans="4:7">
      <c r="D96" s="106" t="s">
        <v>151</v>
      </c>
      <c r="E96" s="108">
        <v>4</v>
      </c>
      <c r="F96" s="108">
        <v>3</v>
      </c>
      <c r="G96" s="108">
        <v>5</v>
      </c>
    </row>
    <row r="97" spans="4:7">
      <c r="D97" s="106" t="s">
        <v>152</v>
      </c>
      <c r="E97" s="108">
        <v>3</v>
      </c>
      <c r="F97" s="108">
        <v>2</v>
      </c>
      <c r="G97" s="108">
        <v>4</v>
      </c>
    </row>
    <row r="98" spans="4:7">
      <c r="D98" s="106" t="s">
        <v>108</v>
      </c>
      <c r="E98" s="109">
        <v>2</v>
      </c>
      <c r="F98" s="109">
        <v>1</v>
      </c>
      <c r="G98" s="109">
        <v>2</v>
      </c>
    </row>
    <row r="99" spans="4:7">
      <c r="D99" s="106" t="s">
        <v>109</v>
      </c>
      <c r="E99" s="109">
        <v>2</v>
      </c>
      <c r="F99" s="109">
        <v>1</v>
      </c>
      <c r="G99" s="109">
        <v>2</v>
      </c>
    </row>
    <row r="100" spans="4:7">
      <c r="D100" s="106" t="s">
        <v>69</v>
      </c>
      <c r="E100" s="108">
        <v>3</v>
      </c>
      <c r="F100" s="108">
        <v>2</v>
      </c>
      <c r="G100" s="108">
        <v>4</v>
      </c>
    </row>
    <row r="101" spans="4:7">
      <c r="D101" s="106" t="s">
        <v>71</v>
      </c>
      <c r="E101" s="108">
        <v>3</v>
      </c>
      <c r="F101" s="108">
        <v>2</v>
      </c>
      <c r="G101" s="108">
        <v>4</v>
      </c>
    </row>
    <row r="102" spans="4:7">
      <c r="D102" s="106" t="s">
        <v>72</v>
      </c>
      <c r="E102" s="108">
        <v>3</v>
      </c>
      <c r="F102" s="108">
        <v>2</v>
      </c>
      <c r="G102" s="108">
        <v>4</v>
      </c>
    </row>
    <row r="103" spans="4:7">
      <c r="D103" s="106" t="s">
        <v>45</v>
      </c>
      <c r="E103" s="108">
        <v>3</v>
      </c>
      <c r="F103" s="108">
        <v>2</v>
      </c>
      <c r="G103" s="108">
        <v>4</v>
      </c>
    </row>
    <row r="104" spans="4:7">
      <c r="D104" s="106" t="s">
        <v>153</v>
      </c>
      <c r="E104" s="108">
        <v>4</v>
      </c>
      <c r="F104" s="108">
        <v>3</v>
      </c>
      <c r="G104" s="108">
        <v>5</v>
      </c>
    </row>
    <row r="105" spans="4:7">
      <c r="D105" s="106" t="s">
        <v>154</v>
      </c>
      <c r="E105" s="108">
        <v>4</v>
      </c>
      <c r="F105" s="108">
        <v>3</v>
      </c>
      <c r="G105" s="108">
        <v>5</v>
      </c>
    </row>
    <row r="106" spans="4:7">
      <c r="D106" s="107" t="s">
        <v>155</v>
      </c>
      <c r="E106" s="108">
        <v>4</v>
      </c>
      <c r="F106" s="108">
        <v>3</v>
      </c>
      <c r="G106" s="108">
        <v>5</v>
      </c>
    </row>
    <row r="107" spans="4:7">
      <c r="D107" s="107" t="s">
        <v>156</v>
      </c>
      <c r="E107" s="108">
        <v>4</v>
      </c>
      <c r="F107" s="108">
        <v>3</v>
      </c>
      <c r="G107" s="108">
        <v>5</v>
      </c>
    </row>
    <row r="108" spans="4:7">
      <c r="D108" s="107" t="s">
        <v>157</v>
      </c>
      <c r="E108" s="108">
        <v>4</v>
      </c>
      <c r="F108" s="108">
        <v>3</v>
      </c>
      <c r="G108" s="108">
        <v>5</v>
      </c>
    </row>
    <row r="109" spans="4:7">
      <c r="D109" s="106" t="s">
        <v>158</v>
      </c>
      <c r="E109" s="108">
        <v>4</v>
      </c>
      <c r="F109" s="108">
        <v>3</v>
      </c>
      <c r="G109" s="108">
        <v>5</v>
      </c>
    </row>
    <row r="110" spans="4:7">
      <c r="D110" s="107" t="s">
        <v>159</v>
      </c>
      <c r="E110" s="108">
        <v>4</v>
      </c>
      <c r="F110" s="108">
        <v>3</v>
      </c>
      <c r="G110" s="108">
        <v>5</v>
      </c>
    </row>
    <row r="111" spans="4:7">
      <c r="D111" s="106" t="s">
        <v>160</v>
      </c>
      <c r="E111" s="108">
        <v>4</v>
      </c>
      <c r="F111" s="108">
        <v>3</v>
      </c>
      <c r="G111" s="108">
        <v>5</v>
      </c>
    </row>
    <row r="112" spans="4:7">
      <c r="D112" s="107" t="s">
        <v>83</v>
      </c>
      <c r="E112" s="108">
        <v>4</v>
      </c>
      <c r="F112" s="108">
        <v>3</v>
      </c>
      <c r="G112" s="108">
        <v>5</v>
      </c>
    </row>
    <row r="113" spans="4:7">
      <c r="D113" s="106" t="s">
        <v>92</v>
      </c>
      <c r="E113" s="108">
        <v>4</v>
      </c>
      <c r="F113" s="108">
        <v>3</v>
      </c>
      <c r="G113" s="108">
        <v>5</v>
      </c>
    </row>
    <row r="114" spans="4:7">
      <c r="D114" s="107" t="s">
        <v>84</v>
      </c>
      <c r="E114" s="108">
        <v>4</v>
      </c>
      <c r="F114" s="108">
        <v>3</v>
      </c>
      <c r="G114" s="108">
        <v>5</v>
      </c>
    </row>
    <row r="115" spans="4:7">
      <c r="D115" s="106" t="s">
        <v>93</v>
      </c>
      <c r="E115" s="108">
        <v>4</v>
      </c>
      <c r="F115" s="108">
        <v>3</v>
      </c>
      <c r="G115" s="108">
        <v>5</v>
      </c>
    </row>
    <row r="116" spans="4:7">
      <c r="D116" s="107" t="s">
        <v>178</v>
      </c>
      <c r="E116" s="108">
        <v>4</v>
      </c>
      <c r="F116" s="108">
        <v>3</v>
      </c>
      <c r="G116" s="108">
        <v>5</v>
      </c>
    </row>
    <row r="117" spans="4:7">
      <c r="D117" s="106" t="s">
        <v>179</v>
      </c>
      <c r="E117" s="108">
        <v>4</v>
      </c>
      <c r="F117" s="108">
        <v>3</v>
      </c>
      <c r="G117" s="108">
        <v>5</v>
      </c>
    </row>
    <row r="118" spans="4:7">
      <c r="D118" s="107" t="s">
        <v>180</v>
      </c>
      <c r="E118" s="108">
        <v>4</v>
      </c>
      <c r="F118" s="108">
        <v>3</v>
      </c>
      <c r="G118" s="108">
        <v>5</v>
      </c>
    </row>
    <row r="119" spans="4:7">
      <c r="D119" s="106" t="s">
        <v>181</v>
      </c>
      <c r="E119" s="108">
        <v>4</v>
      </c>
      <c r="F119" s="108">
        <v>3</v>
      </c>
      <c r="G119" s="108">
        <v>5</v>
      </c>
    </row>
    <row r="120" spans="4:7">
      <c r="D120" s="107" t="s">
        <v>182</v>
      </c>
      <c r="E120" s="108">
        <v>4</v>
      </c>
      <c r="F120" s="108">
        <v>3</v>
      </c>
      <c r="G120" s="108">
        <v>5</v>
      </c>
    </row>
    <row r="121" spans="4:7">
      <c r="D121" s="106" t="s">
        <v>183</v>
      </c>
      <c r="E121" s="108">
        <v>4</v>
      </c>
      <c r="F121" s="108">
        <v>3</v>
      </c>
      <c r="G121" s="108">
        <v>5</v>
      </c>
    </row>
    <row r="122" spans="4:7">
      <c r="D122" s="107" t="s">
        <v>184</v>
      </c>
      <c r="E122" s="108">
        <v>4</v>
      </c>
      <c r="F122" s="108">
        <v>3</v>
      </c>
      <c r="G122" s="108">
        <v>5</v>
      </c>
    </row>
    <row r="123" spans="4:7">
      <c r="D123" s="106" t="s">
        <v>94</v>
      </c>
      <c r="E123" s="108">
        <v>4</v>
      </c>
      <c r="F123" s="108">
        <v>3</v>
      </c>
      <c r="G123" s="108">
        <v>5</v>
      </c>
    </row>
    <row r="124" spans="4:7">
      <c r="D124" s="106" t="s">
        <v>49</v>
      </c>
      <c r="E124" s="108">
        <v>4</v>
      </c>
      <c r="F124" s="108">
        <v>3</v>
      </c>
      <c r="G124" s="108">
        <v>5</v>
      </c>
    </row>
    <row r="125" spans="4:7">
      <c r="D125" s="107" t="s">
        <v>87</v>
      </c>
      <c r="E125" s="108">
        <v>3</v>
      </c>
      <c r="F125" s="108">
        <v>2</v>
      </c>
      <c r="G125" s="108">
        <v>4</v>
      </c>
    </row>
    <row r="126" spans="4:7">
      <c r="D126" s="106" t="s">
        <v>97</v>
      </c>
      <c r="E126" s="108">
        <v>3</v>
      </c>
      <c r="F126" s="108">
        <v>2</v>
      </c>
      <c r="G126" s="108">
        <v>4</v>
      </c>
    </row>
    <row r="127" spans="4:7">
      <c r="D127" s="107" t="s">
        <v>88</v>
      </c>
      <c r="E127" s="108">
        <v>3</v>
      </c>
      <c r="F127" s="108">
        <v>2</v>
      </c>
      <c r="G127" s="108">
        <v>4</v>
      </c>
    </row>
    <row r="128" spans="4:7">
      <c r="D128" s="106" t="s">
        <v>98</v>
      </c>
      <c r="E128" s="108">
        <v>3</v>
      </c>
      <c r="F128" s="108">
        <v>2</v>
      </c>
      <c r="G128" s="108">
        <v>4</v>
      </c>
    </row>
    <row r="129" spans="4:7">
      <c r="D129" s="107" t="s">
        <v>90</v>
      </c>
      <c r="E129" s="108">
        <v>3</v>
      </c>
      <c r="F129" s="108">
        <v>2</v>
      </c>
      <c r="G129" s="108">
        <v>4</v>
      </c>
    </row>
    <row r="130" spans="4:7">
      <c r="D130" s="106" t="s">
        <v>99</v>
      </c>
      <c r="E130" s="108">
        <v>3</v>
      </c>
      <c r="F130" s="108">
        <v>2</v>
      </c>
      <c r="G130" s="108">
        <v>4</v>
      </c>
    </row>
    <row r="131" spans="4:7">
      <c r="D131" s="106" t="s">
        <v>58</v>
      </c>
      <c r="E131" s="108">
        <v>4</v>
      </c>
      <c r="F131" s="108">
        <v>3</v>
      </c>
      <c r="G131" s="108">
        <v>5</v>
      </c>
    </row>
    <row r="132" spans="4:7">
      <c r="D132" s="106" t="s">
        <v>59</v>
      </c>
      <c r="E132" s="108">
        <v>4</v>
      </c>
      <c r="F132" s="108">
        <v>3</v>
      </c>
      <c r="G132" s="108">
        <v>5</v>
      </c>
    </row>
    <row r="133" spans="4:7">
      <c r="D133" s="106" t="s">
        <v>32</v>
      </c>
      <c r="E133" s="108">
        <v>4</v>
      </c>
      <c r="F133" s="108">
        <v>3</v>
      </c>
      <c r="G133" s="108">
        <v>5</v>
      </c>
    </row>
    <row r="134" spans="4:7">
      <c r="D134" s="106" t="s">
        <v>60</v>
      </c>
      <c r="E134" s="108">
        <v>4</v>
      </c>
      <c r="F134" s="108">
        <v>3</v>
      </c>
      <c r="G134" s="108">
        <v>5</v>
      </c>
    </row>
    <row r="135" spans="4:7">
      <c r="D135" s="106" t="s">
        <v>61</v>
      </c>
      <c r="E135" s="108">
        <v>4</v>
      </c>
      <c r="F135" s="108">
        <v>3</v>
      </c>
      <c r="G135" s="108">
        <v>5</v>
      </c>
    </row>
    <row r="136" spans="4:7">
      <c r="D136" s="106" t="s">
        <v>36</v>
      </c>
      <c r="E136" s="108">
        <v>4</v>
      </c>
      <c r="F136" s="108">
        <v>3</v>
      </c>
      <c r="G136" s="108">
        <v>5</v>
      </c>
    </row>
    <row r="137" spans="4:7">
      <c r="D137" s="106" t="s">
        <v>62</v>
      </c>
      <c r="E137" s="108">
        <v>4</v>
      </c>
      <c r="F137" s="108">
        <v>3</v>
      </c>
      <c r="G137" s="108">
        <v>5</v>
      </c>
    </row>
    <row r="138" spans="4:7">
      <c r="D138" s="106" t="s">
        <v>63</v>
      </c>
      <c r="E138" s="108">
        <v>4</v>
      </c>
      <c r="F138" s="108">
        <v>3</v>
      </c>
      <c r="G138" s="108">
        <v>5</v>
      </c>
    </row>
    <row r="139" spans="4:7">
      <c r="D139" s="106" t="s">
        <v>41</v>
      </c>
      <c r="E139" s="108">
        <v>4</v>
      </c>
      <c r="F139" s="108">
        <v>3</v>
      </c>
      <c r="G139" s="108">
        <v>5</v>
      </c>
    </row>
    <row r="140" spans="4:7">
      <c r="D140" s="106" t="s">
        <v>65</v>
      </c>
      <c r="E140" s="108">
        <v>4</v>
      </c>
      <c r="F140" s="108">
        <v>3</v>
      </c>
      <c r="G140" s="108">
        <v>5</v>
      </c>
    </row>
    <row r="141" spans="4:7">
      <c r="D141" s="106" t="s">
        <v>161</v>
      </c>
      <c r="E141" s="108">
        <v>4</v>
      </c>
      <c r="F141" s="108">
        <v>3</v>
      </c>
      <c r="G141" s="108">
        <v>5</v>
      </c>
    </row>
    <row r="142" spans="4:7">
      <c r="D142" s="106" t="s">
        <v>162</v>
      </c>
      <c r="E142" s="108">
        <v>4</v>
      </c>
      <c r="F142" s="108">
        <v>3</v>
      </c>
      <c r="G142" s="108">
        <v>5</v>
      </c>
    </row>
    <row r="143" spans="4:7">
      <c r="D143" s="106" t="s">
        <v>163</v>
      </c>
      <c r="E143" s="108">
        <v>4</v>
      </c>
      <c r="F143" s="108">
        <v>3</v>
      </c>
      <c r="G143" s="108">
        <v>5</v>
      </c>
    </row>
    <row r="144" spans="4:7">
      <c r="D144" s="106" t="s">
        <v>164</v>
      </c>
      <c r="E144" s="108">
        <v>4</v>
      </c>
      <c r="F144" s="108">
        <v>3</v>
      </c>
      <c r="G144" s="108">
        <v>5</v>
      </c>
    </row>
    <row r="145" spans="4:7">
      <c r="D145" s="106" t="s">
        <v>165</v>
      </c>
      <c r="E145" s="108">
        <v>4</v>
      </c>
      <c r="F145" s="108">
        <v>3</v>
      </c>
      <c r="G145" s="108">
        <v>5</v>
      </c>
    </row>
    <row r="146" spans="4:7">
      <c r="D146" s="106" t="s">
        <v>166</v>
      </c>
      <c r="E146" s="108">
        <v>4</v>
      </c>
      <c r="F146" s="108">
        <v>3</v>
      </c>
      <c r="G146" s="108">
        <v>5</v>
      </c>
    </row>
    <row r="147" spans="4:7">
      <c r="D147" s="106" t="s">
        <v>167</v>
      </c>
      <c r="E147" s="108">
        <v>4</v>
      </c>
      <c r="F147" s="108">
        <v>3</v>
      </c>
      <c r="G147" s="108">
        <v>5</v>
      </c>
    </row>
    <row r="148" spans="4:7">
      <c r="D148" s="106" t="s">
        <v>168</v>
      </c>
      <c r="E148" s="108">
        <v>4</v>
      </c>
      <c r="F148" s="108">
        <v>3</v>
      </c>
      <c r="G148" s="108">
        <v>5</v>
      </c>
    </row>
    <row r="149" spans="4:7">
      <c r="D149" s="106" t="s">
        <v>169</v>
      </c>
      <c r="E149" s="108">
        <v>3</v>
      </c>
      <c r="F149" s="108">
        <v>2</v>
      </c>
      <c r="G149" s="108">
        <v>4</v>
      </c>
    </row>
    <row r="150" spans="4:7">
      <c r="D150" s="106" t="s">
        <v>170</v>
      </c>
      <c r="E150" s="108">
        <v>3</v>
      </c>
      <c r="F150" s="108">
        <v>2</v>
      </c>
      <c r="G150" s="108">
        <v>4</v>
      </c>
    </row>
    <row r="151" spans="4:7">
      <c r="D151" s="106" t="s">
        <v>70</v>
      </c>
      <c r="E151" s="108">
        <v>3</v>
      </c>
      <c r="F151" s="108">
        <v>2</v>
      </c>
      <c r="G151" s="108">
        <v>4</v>
      </c>
    </row>
    <row r="152" spans="4:7">
      <c r="D152" s="106" t="s">
        <v>46</v>
      </c>
      <c r="E152" s="108">
        <v>3</v>
      </c>
      <c r="F152" s="108">
        <v>2</v>
      </c>
      <c r="G152" s="108">
        <v>4</v>
      </c>
    </row>
    <row r="153" spans="4:7">
      <c r="D153" s="106" t="s">
        <v>73</v>
      </c>
      <c r="E153" s="108">
        <v>4</v>
      </c>
      <c r="F153" s="108">
        <v>3</v>
      </c>
      <c r="G153" s="108">
        <v>5</v>
      </c>
    </row>
    <row r="154" spans="4:7">
      <c r="D154" s="106" t="s">
        <v>74</v>
      </c>
      <c r="E154" s="108">
        <v>4</v>
      </c>
      <c r="F154" s="108">
        <v>3</v>
      </c>
      <c r="G154" s="108">
        <v>5</v>
      </c>
    </row>
    <row r="155" spans="4:7">
      <c r="D155" s="106" t="s">
        <v>110</v>
      </c>
      <c r="E155" s="109">
        <v>2</v>
      </c>
      <c r="F155" s="109">
        <v>1</v>
      </c>
      <c r="G155" s="109">
        <v>2</v>
      </c>
    </row>
    <row r="156" spans="4:7">
      <c r="D156" s="106" t="s">
        <v>171</v>
      </c>
      <c r="E156" s="108">
        <v>4</v>
      </c>
      <c r="F156" s="108">
        <v>3</v>
      </c>
      <c r="G156" s="108">
        <v>5</v>
      </c>
    </row>
    <row r="157" spans="4:7">
      <c r="D157" s="106" t="s">
        <v>172</v>
      </c>
      <c r="E157" s="108">
        <v>4</v>
      </c>
      <c r="F157" s="108">
        <v>3</v>
      </c>
      <c r="G157" s="108">
        <v>5</v>
      </c>
    </row>
    <row r="158" spans="4:7">
      <c r="D158" s="106" t="s">
        <v>173</v>
      </c>
      <c r="E158" s="108">
        <v>4</v>
      </c>
      <c r="F158" s="108">
        <v>3</v>
      </c>
      <c r="G158" s="108">
        <v>5</v>
      </c>
    </row>
    <row r="159" spans="4:7">
      <c r="D159" s="106" t="s">
        <v>174</v>
      </c>
      <c r="E159" s="108">
        <v>4</v>
      </c>
      <c r="F159" s="108">
        <v>3</v>
      </c>
      <c r="G159" s="108">
        <v>5</v>
      </c>
    </row>
    <row r="160" spans="4:7">
      <c r="D160" s="106" t="s">
        <v>175</v>
      </c>
      <c r="E160" s="108">
        <v>4</v>
      </c>
      <c r="F160" s="108">
        <v>3</v>
      </c>
      <c r="G160" s="108">
        <v>5</v>
      </c>
    </row>
    <row r="161" spans="4:7">
      <c r="D161" s="106" t="s">
        <v>176</v>
      </c>
      <c r="E161" s="108">
        <v>4</v>
      </c>
      <c r="F161" s="108">
        <v>3</v>
      </c>
      <c r="G161" s="108">
        <v>5</v>
      </c>
    </row>
    <row r="162" spans="4:7">
      <c r="D162" s="106" t="s">
        <v>85</v>
      </c>
      <c r="E162" s="108">
        <v>4</v>
      </c>
      <c r="F162" s="108">
        <v>3</v>
      </c>
      <c r="G162" s="108">
        <v>5</v>
      </c>
    </row>
    <row r="163" spans="4:7">
      <c r="D163" s="106" t="s">
        <v>95</v>
      </c>
      <c r="E163" s="108">
        <v>4</v>
      </c>
      <c r="F163" s="108">
        <v>3</v>
      </c>
      <c r="G163" s="108">
        <v>5</v>
      </c>
    </row>
    <row r="164" spans="4:7">
      <c r="D164" s="106" t="s">
        <v>86</v>
      </c>
      <c r="E164" s="108">
        <v>4</v>
      </c>
      <c r="F164" s="108">
        <v>3</v>
      </c>
      <c r="G164" s="108">
        <v>5</v>
      </c>
    </row>
    <row r="165" spans="4:7">
      <c r="D165" s="106" t="s">
        <v>96</v>
      </c>
      <c r="E165" s="108">
        <v>4</v>
      </c>
      <c r="F165" s="108">
        <v>3</v>
      </c>
      <c r="G165" s="108">
        <v>5</v>
      </c>
    </row>
    <row r="166" spans="4:7">
      <c r="D166" s="106" t="s">
        <v>50</v>
      </c>
      <c r="E166" s="108">
        <v>4</v>
      </c>
      <c r="F166" s="108">
        <v>3</v>
      </c>
      <c r="G166" s="108">
        <v>5</v>
      </c>
    </row>
    <row r="167" spans="4:7">
      <c r="D167" s="106" t="s">
        <v>89</v>
      </c>
      <c r="E167" s="108">
        <v>3</v>
      </c>
      <c r="F167" s="108">
        <v>2</v>
      </c>
      <c r="G167" s="108">
        <v>4</v>
      </c>
    </row>
    <row r="168" spans="4:7">
      <c r="D168" s="106" t="s">
        <v>177</v>
      </c>
      <c r="E168" s="108">
        <v>3</v>
      </c>
      <c r="F168" s="108">
        <v>2</v>
      </c>
      <c r="G168" s="108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박정선</cp:lastModifiedBy>
  <cp:lastPrinted>2025-10-15T06:34:44Z</cp:lastPrinted>
  <dcterms:created xsi:type="dcterms:W3CDTF">2002-10-10T04:04:10Z</dcterms:created>
  <dcterms:modified xsi:type="dcterms:W3CDTF">2026-07-27T06:38:49Z</dcterms:modified>
</cp:coreProperties>
</file>