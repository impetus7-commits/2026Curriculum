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6 교육과정부\교육과정\"/>
    </mc:Choice>
  </mc:AlternateContent>
  <xr:revisionPtr revIDLastSave="0" documentId="13_ncr:1_{90F9EDFF-A966-4D97-89F8-3BDB430907B9}" xr6:coauthVersionLast="47" xr6:coauthVersionMax="47" xr10:uidLastSave="{00000000-0000-0000-0000-000000000000}"/>
  <bookViews>
    <workbookView xWindow="-28920" yWindow="-120" windowWidth="29040" windowHeight="1572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'2027입학생'!$A$1:$P$128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3" i="40" l="1"/>
  <c r="E112" i="40"/>
  <c r="E109" i="40"/>
  <c r="E108" i="40"/>
  <c r="E107" i="40"/>
  <c r="E106" i="40"/>
  <c r="E105" i="40"/>
  <c r="E104" i="40"/>
  <c r="E103" i="40"/>
  <c r="E102" i="40"/>
  <c r="E100" i="40"/>
  <c r="E99" i="40"/>
  <c r="E79" i="40"/>
  <c r="E76" i="40"/>
  <c r="E98" i="40"/>
  <c r="E97" i="40"/>
  <c r="E96" i="40"/>
  <c r="E95" i="40"/>
  <c r="E94" i="40"/>
  <c r="E93" i="40"/>
  <c r="E92" i="40"/>
  <c r="E91" i="40"/>
  <c r="E90" i="40"/>
  <c r="E89" i="40"/>
  <c r="E88" i="40"/>
  <c r="E87" i="40"/>
  <c r="E86" i="40"/>
  <c r="E85" i="40"/>
  <c r="E84" i="40"/>
  <c r="E83" i="40"/>
  <c r="E82" i="40"/>
  <c r="E81" i="40"/>
  <c r="E80" i="40"/>
  <c r="E78" i="40"/>
  <c r="E77" i="40"/>
  <c r="E75" i="40"/>
  <c r="E61" i="40"/>
  <c r="E62" i="40"/>
  <c r="E63" i="40"/>
  <c r="E18" i="40"/>
  <c r="E14" i="40"/>
  <c r="E26" i="40"/>
  <c r="E22" i="40"/>
  <c r="E10" i="40"/>
  <c r="E69" i="40" l="1"/>
  <c r="E64" i="40"/>
  <c r="E65" i="40"/>
  <c r="E51" i="40"/>
  <c r="E45" i="40"/>
  <c r="E46" i="40"/>
  <c r="E35" i="40"/>
  <c r="E31" i="40"/>
  <c r="E17" i="40"/>
  <c r="E13" i="40"/>
  <c r="E9" i="40"/>
  <c r="E23" i="40" l="1"/>
  <c r="E7" i="40" l="1"/>
  <c r="O39" i="40"/>
  <c r="O37" i="40"/>
  <c r="O33" i="40"/>
  <c r="O27" i="40"/>
  <c r="E28" i="40"/>
  <c r="E30" i="40"/>
  <c r="O23" i="40"/>
  <c r="O21" i="40"/>
  <c r="O19" i="40"/>
  <c r="O15" i="40"/>
  <c r="E16" i="40"/>
  <c r="O11" i="40"/>
  <c r="O7" i="40"/>
  <c r="E8" i="40" l="1"/>
  <c r="H115" i="40" l="1"/>
  <c r="E11" i="40"/>
  <c r="E12" i="40"/>
  <c r="E15" i="40"/>
  <c r="E19" i="40"/>
  <c r="E20" i="40"/>
  <c r="E21" i="40"/>
  <c r="E24" i="40"/>
  <c r="E25" i="40"/>
  <c r="E27" i="40"/>
  <c r="E29" i="40"/>
  <c r="E32" i="40"/>
  <c r="E33" i="40"/>
  <c r="E34" i="40"/>
  <c r="E36" i="40"/>
  <c r="E37" i="40"/>
  <c r="E39" i="40"/>
  <c r="E41" i="40"/>
  <c r="E42" i="40"/>
  <c r="E43" i="40"/>
  <c r="E44" i="40"/>
  <c r="E47" i="40"/>
  <c r="E48" i="40"/>
  <c r="E49" i="40"/>
  <c r="E50" i="40"/>
  <c r="E52" i="40"/>
  <c r="E53" i="40"/>
  <c r="E54" i="40"/>
  <c r="E55" i="40"/>
  <c r="E56" i="40"/>
  <c r="E57" i="40"/>
  <c r="E58" i="40"/>
  <c r="E59" i="40"/>
  <c r="E60" i="40"/>
  <c r="E66" i="40"/>
  <c r="E67" i="40"/>
  <c r="E68" i="40"/>
  <c r="E70" i="40"/>
  <c r="E71" i="40"/>
  <c r="E72" i="40"/>
  <c r="E73" i="40"/>
  <c r="E74" i="40"/>
  <c r="E114" i="40"/>
  <c r="O116" i="40" l="1"/>
  <c r="L117" i="40" l="1"/>
  <c r="K117" i="40"/>
  <c r="J117" i="40"/>
  <c r="I117" i="40"/>
  <c r="H117" i="40"/>
  <c r="G115" i="40"/>
  <c r="G117" i="40" l="1"/>
  <c r="O117" i="40" s="1"/>
  <c r="O115" i="40"/>
  <c r="K119" i="40"/>
  <c r="I119" i="40"/>
  <c r="P115" i="40"/>
  <c r="G119" i="40" l="1"/>
  <c r="O119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1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<sst xmlns="http://schemas.openxmlformats.org/spreadsheetml/2006/main" count="695" uniqueCount="329">
  <si>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</si>
  <si>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</si>
  <si>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</si>
  <si>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</si>
  <si>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</si>
  <si>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</si>
  <si>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</si>
  <si>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</si>
  <si>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</si>
  <si>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</si>
  <si>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</si>
  <si>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</si>
  <si>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</si>
  <si>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</si>
  <si>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</si>
  <si>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</si>
  <si>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</si>
  <si>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</si>
  <si>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</si>
  <si>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</si>
  <si>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</si>
  <si>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</si>
  <si>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</si>
  <si>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</si>
  <si>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</si>
  <si>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</si>
  <si>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</si>
  <si>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</si>
  <si>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</si>
  <si>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</si>
  <si>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</si>
  <si>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</si>
  <si>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</si>
  <si>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</si>
  <si>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</si>
  <si>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</si>
  <si>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</si>
  <si>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</si>
  <si>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</si>
  <si>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</si>
  <si>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</si>
  <si>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</si>
  <si>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</si>
  <si>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</si>
  <si>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</si>
  <si>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</si>
  <si>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</si>
  <si>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</si>
  <si>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</si>
  <si>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</si>
  <si>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</si>
  <si>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</si>
  <si>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</si>
  <si>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</si>
  <si>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</si>
  <si>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</si>
  <si>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</si>
  <si>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</si>
  <si>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</si>
  <si>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</si>
  <si>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</si>
  <si>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</si>
  <si>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</si>
  <si>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</si>
  <si>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</si>
  <si>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</si>
  <si>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</si>
  <si>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</si>
  <si>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</si>
  <si>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</si>
  <si>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</si>
  <si>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</si>
  <si>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</si>
  <si>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</si>
  <si>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</si>
  <si>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</si>
  <si>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</si>
  <si>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</si>
  <si>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</si>
  <si>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</si>
  <si>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</si>
  <si>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</si>
  <si>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</si>
  <si>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</si>
  <si>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</si>
  <si>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</si>
  <si>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</si>
  <si>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</si>
  <si>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</si>
  <si>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</si>
  <si>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</si>
  <si>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</si>
  <si>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</si>
  <si>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</si>
  <si>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</si>
  <si>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</si>
  <si>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</si>
  <si>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</si>
  <si>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</si>
  <si>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</si>
  <si>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</si>
  <si>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</si>
  <si>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</si>
  <si>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</si>
  <si>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</si>
  <si>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</si>
  <si>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</si>
  <si>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</si>
  <si>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</si>
  <si>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</si>
  <si>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</si>
  <si>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</si>
  <si>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</si>
  <si>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</si>
  <si>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</si>
  <si>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</si>
  <si>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</si>
  <si>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</si>
  <si>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</si>
  <si>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</si>
  <si>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</si>
  <si>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</si>
  <si>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</si>
  <si>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</si>
  <si>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</si>
  <si>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</si>
  <si>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</si>
  <si>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</si>
  <si>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</si>
  <si>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</si>
  <si>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</si>
  <si>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</si>
  <si>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</si>
  <si>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</si>
  <si>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</si>
  <si>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</si>
  <si>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</si>
  <si>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</si>
  <si>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</si>
  <si>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</si>
  <si>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</si>
  <si>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</si>
  <si>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</si>
  <si>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</si>
  <si>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</si>
  <si>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</si>
  <si>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</si>
  <si>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</si>
  <si>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</si>
  <si>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</si>
  <si>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</si>
  <si>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</si>
  <si>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</si>
  <si>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</si>
  <si>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</si>
  <si>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</si>
  <si>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</si>
  <si>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</si>
  <si>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</si>
  <si>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</si>
  <si>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</si>
  <si>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</si>
  <si>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</si>
  <si>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</si>
  <si>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</si>
  <si>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</si>
  <si>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</si>
  <si>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</si>
  <si>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</si>
  <si>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</si>
  <si>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</si>
  <si>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</si>
  <si>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</si>
  <si>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</si>
  <si>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</si>
  <si>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</si>
  <si>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</si>
  <si>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</si>
  <si>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</si>
  <si>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</si>
  <si>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</si>
  <si>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</si>
  <si>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</si>
  <si>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</si>
  <si>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</si>
  <si>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</si>
  <si>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</si>
  <si>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</si>
  <si>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</si>
  <si>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</si>
  <si>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</si>
  <si>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</si>
  <si>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</si>
  <si>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</si>
  <si>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</si>
  <si>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</si>
  <si>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</si>
  <si>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</si>
  <si>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</si>
  <si>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</si>
  <si>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</si>
  <si>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</si>
  <si>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</si>
  <si>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</si>
  <si>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</si>
  <si>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</si>
  <si>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</si>
  <si>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</si>
  <si>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</si>
  <si>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</si>
  <si>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</si>
  <si>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</si>
  <si>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</si>
  <si>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</si>
  <si>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</si>
  <si>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</si>
  <si>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</si>
  <si>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</si>
  <si>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</si>
  <si>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</si>
  <si>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</si>
  <si>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</si>
  <si>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</si>
  <si>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</si>
  <si>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</si>
  <si>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</si>
  <si>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</si>
  <si>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</si>
  <si>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</si>
  <si>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</si>
  <si>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</si>
  <si>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</si>
  <si>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</si>
  <si>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</si>
  <si>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</si>
  <si>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</si>
  <si>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</si>
  <si>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</si>
  <si>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</si>
  <si>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</si>
  <si>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</si>
  <si>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</si>
  <si>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</si>
  <si>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</si>
  <si>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</si>
  <si>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</si>
  <si>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</si>
  <si>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</si>
  <si>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</si>
  <si>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</si>
  <si>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</si>
  <si>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</si>
  <si>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</si>
  <si>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</si>
  <si>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</si>
  <si>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</si>
  <si>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</si>
  <si>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</si>
  <si>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</si>
  <si>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</si>
  <si>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</si>
  <si>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</si>
  <si>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</si>
  <si>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2027학년도 입학</t>
    <phoneticPr fontId="1" type="noConversion"/>
  </si>
  <si>
    <t>신현고등학교 교육과정 학점 배당표</t>
    <phoneticPr fontId="1" type="noConversion"/>
  </si>
  <si>
    <t>공통</t>
  </si>
  <si>
    <t>일반</t>
  </si>
  <si>
    <t>융합</t>
  </si>
  <si>
    <t>진로</t>
  </si>
  <si>
    <t xml:space="preserve">화법과 언어 </t>
  </si>
  <si>
    <t>대수</t>
  </si>
  <si>
    <t>미적분Ⅰ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</si>
  <si>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</si>
  <si>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</si>
  <si>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</si>
  <si>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</si>
  <si>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</si>
  <si>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</si>
  <si>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</si>
  <si>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</si>
  <si>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</si>
  <si>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</si>
  <si>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</si>
  <si>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</si>
  <si>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</si>
  <si>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</si>
  <si>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음악</t>
  </si>
  <si>
    <t>미술</t>
  </si>
  <si>
    <t>논술</t>
  </si>
  <si>
    <t>프로그래밍</t>
    <phoneticPr fontId="1" type="noConversion"/>
  </si>
  <si>
    <t>논리와 사고</t>
    <phoneticPr fontId="1" type="noConversion"/>
  </si>
  <si>
    <t>[3]</t>
    <phoneticPr fontId="1" type="noConversion"/>
  </si>
  <si>
    <t>[2]</t>
    <phoneticPr fontId="1" type="noConversion"/>
  </si>
  <si>
    <t>전문 교과</t>
  </si>
  <si>
    <t>기하</t>
  </si>
  <si>
    <t xml:space="preserve">윤리와 사상 </t>
  </si>
  <si>
    <t>정치</t>
  </si>
  <si>
    <t>물리학</t>
  </si>
  <si>
    <t>화학</t>
  </si>
  <si>
    <t xml:space="preserve">생명과학 </t>
  </si>
  <si>
    <t>지구과학</t>
  </si>
  <si>
    <t xml:space="preserve">일본어 </t>
  </si>
  <si>
    <t>중국어</t>
  </si>
  <si>
    <t>12
(택4)</t>
    <phoneticPr fontId="1" type="noConversion"/>
  </si>
  <si>
    <t>문학과 영상</t>
  </si>
  <si>
    <t>인공지능 수학</t>
  </si>
  <si>
    <t>영미 문학 읽기</t>
  </si>
  <si>
    <t xml:space="preserve">법과 사회 </t>
  </si>
  <si>
    <t xml:space="preserve">도시의 미래 탐구 </t>
  </si>
  <si>
    <t xml:space="preserve">중국어 회화 </t>
  </si>
  <si>
    <t xml:space="preserve">독서와 작문 </t>
  </si>
  <si>
    <t xml:space="preserve">주제 탐구 독서 </t>
  </si>
  <si>
    <t>미적분Ⅱ</t>
  </si>
  <si>
    <t>경제 수학</t>
  </si>
  <si>
    <t xml:space="preserve">중국 문화 </t>
  </si>
  <si>
    <t>보건</t>
  </si>
  <si>
    <t>언어생활 탐구</t>
    <phoneticPr fontId="1" type="noConversion"/>
  </si>
  <si>
    <t>전문 수학</t>
    <phoneticPr fontId="1" type="noConversion"/>
  </si>
  <si>
    <t xml:space="preserve">심화 영어 독해와 작문 </t>
  </si>
  <si>
    <t xml:space="preserve">심화 영어 </t>
  </si>
  <si>
    <t>인문학과 윤리</t>
  </si>
  <si>
    <t>소프트웨어와 생활</t>
  </si>
  <si>
    <t>일본 언어와 역사의 이해1</t>
    <phoneticPr fontId="1" type="noConversion"/>
  </si>
  <si>
    <t>중국 언어와 역사의 이해1</t>
    <phoneticPr fontId="1" type="noConversion"/>
  </si>
  <si>
    <t xml:space="preserve">교육의 이해 </t>
  </si>
  <si>
    <t>24
(택8)</t>
    <phoneticPr fontId="1" type="noConversion"/>
  </si>
  <si>
    <t>특목고 선택 과목</t>
  </si>
  <si>
    <t>타 시·도 교육감 승인 과목</t>
  </si>
  <si>
    <t xml:space="preserve">※ 유의사항
- 국어, 수학, 영어 교과(군)은 2~3학년 총 33학점 이하로 선택할 것.
- 기가/정보, 제2외국어/한문, 교양 교과군은 2~3학년 총 6학점 이상 선택할 것.
- 동일한 과목을 중복해서 수강하지 않도록 유의할 것.(사회문제 탐구, 역사로 탐구하는 현대 세계, 기후변화와 지속가능한 세계, 금융과 경제생활)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</si>
</sst>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7">
    <xf numFmtId="0" fontId="0" fillId="0" borderId="0" xfId="0"/>
    <xf numFmtId="0" fontId="0" fillId="0" borderId="76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49" fontId="12" fillId="0" borderId="59" xfId="0" applyNumberFormat="1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44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2" borderId="104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2" borderId="71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2" fillId="0" borderId="21" xfId="0" quotePrefix="1" applyFont="1" applyBorder="1" applyAlignment="1">
      <alignment horizontal="center" vertical="center" wrapText="1"/>
    </xf>
    <xf numFmtId="0" fontId="12" fillId="0" borderId="99" xfId="0" quotePrefix="1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 wrapText="1"/>
    </xf>
    <xf numFmtId="0" fontId="11" fillId="2" borderId="63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2" borderId="73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8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61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61" xfId="0" quotePrefix="1" applyFont="1" applyFill="1" applyBorder="1" applyAlignment="1">
      <alignment horizontal="center" vertical="center" wrapText="1"/>
    </xf>
    <xf numFmtId="0" fontId="3" fillId="3" borderId="112" xfId="0" applyFont="1" applyFill="1" applyBorder="1" applyAlignment="1">
      <alignment horizontal="center" vertical="center" wrapText="1"/>
    </xf>
    <xf numFmtId="0" fontId="9" fillId="3" borderId="111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9" xfId="0" applyFont="1" applyFill="1" applyBorder="1" applyAlignment="1">
      <alignment horizontal="center" vertical="center" wrapText="1"/>
    </xf>
    <xf numFmtId="0" fontId="5" fillId="2" borderId="10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8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" fillId="0" borderId="96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3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7" xfId="0" applyNumberFormat="1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12" fillId="2" borderId="5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118" xfId="0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19" xfId="0" applyFont="1" applyFill="1" applyBorder="1" applyAlignment="1">
      <alignment horizontal="center" vertical="center" wrapText="1"/>
    </xf>
    <xf numFmtId="0" fontId="12" fillId="0" borderId="120" xfId="0" applyFont="1" applyBorder="1" applyAlignment="1">
      <alignment horizontal="center" vertical="center" wrapText="1"/>
    </xf>
    <xf numFmtId="0" fontId="12" fillId="2" borderId="100" xfId="0" applyFont="1" applyFill="1" applyBorder="1" applyAlignment="1">
      <alignment horizontal="center" vertical="center" wrapText="1"/>
    </xf>
    <xf numFmtId="0" fontId="12" fillId="2" borderId="115" xfId="0" applyFont="1" applyFill="1" applyBorder="1" applyAlignment="1">
      <alignment horizontal="center" vertical="center" wrapText="1"/>
    </xf>
    <xf numFmtId="0" fontId="12" fillId="2" borderId="118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12" fillId="0" borderId="115" xfId="0" quotePrefix="1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7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7" xfId="0" applyFont="1" applyFill="1" applyBorder="1" applyAlignment="1">
      <alignment horizontal="center" vertical="center" wrapText="1"/>
    </xf>
    <xf numFmtId="0" fontId="12" fillId="0" borderId="117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3" xfId="0" applyFont="1" applyBorder="1" applyAlignment="1">
      <alignment horizontal="center" vertical="center" wrapText="1"/>
    </xf>
    <xf numFmtId="0" fontId="12" fillId="0" borderId="116" xfId="0" applyFont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12" fillId="4" borderId="58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10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83" xfId="0" applyFont="1" applyFill="1" applyBorder="1" applyAlignment="1">
      <alignment horizontal="center" vertical="center" wrapText="1"/>
    </xf>
    <xf numFmtId="0" fontId="3" fillId="3" borderId="10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06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1" fillId="3" borderId="52" xfId="0" applyFont="1" applyFill="1" applyBorder="1" applyAlignment="1">
      <alignment horizontal="left" vertical="top" wrapText="1"/>
    </xf>
    <xf numFmtId="0" fontId="12" fillId="3" borderId="91" xfId="0" applyFont="1" applyFill="1" applyBorder="1" applyAlignment="1">
      <alignment horizontal="left" vertical="top"/>
    </xf>
    <xf numFmtId="0" fontId="12" fillId="3" borderId="92" xfId="0" applyFont="1" applyFill="1" applyBorder="1" applyAlignment="1">
      <alignment horizontal="left" vertical="top"/>
    </xf>
    <xf numFmtId="0" fontId="12" fillId="3" borderId="76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93" xfId="0" applyFont="1" applyFill="1" applyBorder="1" applyAlignment="1">
      <alignment horizontal="left" vertical="top"/>
    </xf>
    <xf numFmtId="0" fontId="12" fillId="3" borderId="68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3" xfId="0" applyFont="1" applyFill="1" applyBorder="1" applyAlignment="1">
      <alignment horizontal="left" vertical="top"/>
    </xf>
    <xf numFmtId="0" fontId="5" fillId="2" borderId="53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3" fillId="3" borderId="1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13" xfId="0" applyFont="1" applyFill="1" applyBorder="1" applyAlignment="1">
      <alignment horizontal="center" vertical="center" wrapText="1"/>
    </xf>
    <xf numFmtId="0" fontId="5" fillId="0" borderId="12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00" xfId="0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5" fillId="0" borderId="89" xfId="0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12" fillId="2" borderId="47" xfId="0" quotePrefix="1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shrinkToFit="1"/>
    </xf>
    <xf numFmtId="49" fontId="5" fillId="0" borderId="31" xfId="0" applyNumberFormat="1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2" fillId="0" borderId="48" xfId="0" quotePrefix="1" applyFont="1" applyBorder="1" applyAlignment="1">
      <alignment horizontal="center" vertical="center" wrapText="1"/>
    </xf>
    <xf numFmtId="0" fontId="12" fillId="0" borderId="31" xfId="0" quotePrefix="1" applyFont="1" applyBorder="1" applyAlignment="1">
      <alignment horizontal="center" vertical="center" wrapText="1"/>
    </xf>
    <xf numFmtId="0" fontId="12" fillId="0" borderId="47" xfId="0" quotePrefix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</cellXfs>
  <cellStyles count="1">
    <cellStyle name="표준" xfId="0" builtinId="0"/>
  </cellStyles>
  <dxfs count="61"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60"/>
    </tableStyle>
    <tableStyle name="표 스타일 2" pivot="0" count="1" xr9:uid="{00000000-0011-0000-FFFF-FFFF01000000}">
      <tableStyleElement type="lastColumn" dxfId="59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4" headerRowCount="0" totalsRowShown="0" headerRowDxfId="58" dataDxfId="57" tableBorderDxfId="56">
  <tableColumns count="4">
    <tableColumn id="1" xr3:uid="{00000000-0010-0000-0000-000001000000}" name="기준_x000a_학점" headerRowDxfId="55" dataDxfId="54">
      <calculatedColumnFormula>IFERROR(VLOOKUP(D7, 기본학점, 2, FALSE), "")</calculatedColumnFormula>
    </tableColumn>
    <tableColumn id="2" xr3:uid="{00000000-0010-0000-0000-000002000000}" name="운영_x000a_학점" headerRowDxfId="53" dataDxfId="50"/>
    <tableColumn id="3" xr3:uid="{82C667D2-710B-40AD-A5FC-293A4124AE88}" name="세로 막대형1" headerRowDxfId="52" dataDxfId="49"/>
    <tableColumn id="4" xr3:uid="{687CF4F7-8CF6-4E3F-B81A-62A0DFBA5DFD}" name="세로 막대형2" headerRowDxfId="51" dataDxfId="4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topLeftCell="A67" workbookViewId="0">
      <selection activeCell="M93" sqref="M93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128"/>
  <sheetViews>
    <sheetView tabSelected="1" zoomScale="115" zoomScaleNormal="115" zoomScaleSheetLayoutView="100" workbookViewId="0">
      <selection activeCell="K23" sqref="K23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26" max="226" width="3.5546875" customWidth="1"/>
    <col min="227" max="229" width="5.77734375" customWidth="1"/>
    <col min="230" max="230" width="11.109375" customWidth="1"/>
    <col min="231" max="238" width="5.77734375" customWidth="1"/>
    <col min="239" max="239" width="7.109375" customWidth="1"/>
    <col min="240" max="241" width="5.77734375" customWidth="1"/>
    <col min="242" max="242" width="6" customWidth="1"/>
    <col min="482" max="482" width="3.5546875" customWidth="1"/>
    <col min="483" max="485" width="5.77734375" customWidth="1"/>
    <col min="486" max="486" width="11.109375" customWidth="1"/>
    <col min="487" max="494" width="5.77734375" customWidth="1"/>
    <col min="495" max="495" width="7.109375" customWidth="1"/>
    <col min="496" max="497" width="5.77734375" customWidth="1"/>
    <col min="498" max="498" width="6" customWidth="1"/>
    <col min="738" max="738" width="3.5546875" customWidth="1"/>
    <col min="739" max="741" width="5.77734375" customWidth="1"/>
    <col min="742" max="742" width="11.109375" customWidth="1"/>
    <col min="743" max="750" width="5.77734375" customWidth="1"/>
    <col min="751" max="751" width="7.109375" customWidth="1"/>
    <col min="752" max="753" width="5.77734375" customWidth="1"/>
    <col min="754" max="754" width="6" customWidth="1"/>
    <col min="994" max="994" width="3.5546875" customWidth="1"/>
    <col min="995" max="997" width="5.77734375" customWidth="1"/>
    <col min="998" max="998" width="11.109375" customWidth="1"/>
    <col min="999" max="1006" width="5.77734375" customWidth="1"/>
    <col min="1007" max="1007" width="7.109375" customWidth="1"/>
    <col min="1008" max="1009" width="5.77734375" customWidth="1"/>
    <col min="1010" max="1010" width="6" customWidth="1"/>
    <col min="1250" max="1250" width="3.5546875" customWidth="1"/>
    <col min="1251" max="1253" width="5.77734375" customWidth="1"/>
    <col min="1254" max="1254" width="11.109375" customWidth="1"/>
    <col min="1255" max="1262" width="5.77734375" customWidth="1"/>
    <col min="1263" max="1263" width="7.109375" customWidth="1"/>
    <col min="1264" max="1265" width="5.77734375" customWidth="1"/>
    <col min="1266" max="1266" width="6" customWidth="1"/>
    <col min="1506" max="1506" width="3.5546875" customWidth="1"/>
    <col min="1507" max="1509" width="5.77734375" customWidth="1"/>
    <col min="1510" max="1510" width="11.109375" customWidth="1"/>
    <col min="1511" max="1518" width="5.77734375" customWidth="1"/>
    <col min="1519" max="1519" width="7.109375" customWidth="1"/>
    <col min="1520" max="1521" width="5.77734375" customWidth="1"/>
    <col min="1522" max="1522" width="6" customWidth="1"/>
    <col min="1762" max="1762" width="3.5546875" customWidth="1"/>
    <col min="1763" max="1765" width="5.77734375" customWidth="1"/>
    <col min="1766" max="1766" width="11.109375" customWidth="1"/>
    <col min="1767" max="1774" width="5.77734375" customWidth="1"/>
    <col min="1775" max="1775" width="7.109375" customWidth="1"/>
    <col min="1776" max="1777" width="5.77734375" customWidth="1"/>
    <col min="1778" max="1778" width="6" customWidth="1"/>
    <col min="2018" max="2018" width="3.5546875" customWidth="1"/>
    <col min="2019" max="2021" width="5.77734375" customWidth="1"/>
    <col min="2022" max="2022" width="11.109375" customWidth="1"/>
    <col min="2023" max="2030" width="5.77734375" customWidth="1"/>
    <col min="2031" max="2031" width="7.109375" customWidth="1"/>
    <col min="2032" max="2033" width="5.77734375" customWidth="1"/>
    <col min="2034" max="2034" width="6" customWidth="1"/>
    <col min="2274" max="2274" width="3.5546875" customWidth="1"/>
    <col min="2275" max="2277" width="5.77734375" customWidth="1"/>
    <col min="2278" max="2278" width="11.109375" customWidth="1"/>
    <col min="2279" max="2286" width="5.77734375" customWidth="1"/>
    <col min="2287" max="2287" width="7.109375" customWidth="1"/>
    <col min="2288" max="2289" width="5.77734375" customWidth="1"/>
    <col min="2290" max="2290" width="6" customWidth="1"/>
    <col min="2530" max="2530" width="3.5546875" customWidth="1"/>
    <col min="2531" max="2533" width="5.77734375" customWidth="1"/>
    <col min="2534" max="2534" width="11.109375" customWidth="1"/>
    <col min="2535" max="2542" width="5.77734375" customWidth="1"/>
    <col min="2543" max="2543" width="7.109375" customWidth="1"/>
    <col min="2544" max="2545" width="5.77734375" customWidth="1"/>
    <col min="2546" max="2546" width="6" customWidth="1"/>
    <col min="2786" max="2786" width="3.5546875" customWidth="1"/>
    <col min="2787" max="2789" width="5.77734375" customWidth="1"/>
    <col min="2790" max="2790" width="11.109375" customWidth="1"/>
    <col min="2791" max="2798" width="5.77734375" customWidth="1"/>
    <col min="2799" max="2799" width="7.109375" customWidth="1"/>
    <col min="2800" max="2801" width="5.77734375" customWidth="1"/>
    <col min="2802" max="2802" width="6" customWidth="1"/>
    <col min="3042" max="3042" width="3.5546875" customWidth="1"/>
    <col min="3043" max="3045" width="5.77734375" customWidth="1"/>
    <col min="3046" max="3046" width="11.109375" customWidth="1"/>
    <col min="3047" max="3054" width="5.77734375" customWidth="1"/>
    <col min="3055" max="3055" width="7.109375" customWidth="1"/>
    <col min="3056" max="3057" width="5.77734375" customWidth="1"/>
    <col min="3058" max="3058" width="6" customWidth="1"/>
    <col min="3298" max="3298" width="3.5546875" customWidth="1"/>
    <col min="3299" max="3301" width="5.77734375" customWidth="1"/>
    <col min="3302" max="3302" width="11.109375" customWidth="1"/>
    <col min="3303" max="3310" width="5.77734375" customWidth="1"/>
    <col min="3311" max="3311" width="7.109375" customWidth="1"/>
    <col min="3312" max="3313" width="5.77734375" customWidth="1"/>
    <col min="3314" max="3314" width="6" customWidth="1"/>
    <col min="3554" max="3554" width="3.5546875" customWidth="1"/>
    <col min="3555" max="3557" width="5.77734375" customWidth="1"/>
    <col min="3558" max="3558" width="11.109375" customWidth="1"/>
    <col min="3559" max="3566" width="5.77734375" customWidth="1"/>
    <col min="3567" max="3567" width="7.109375" customWidth="1"/>
    <col min="3568" max="3569" width="5.77734375" customWidth="1"/>
    <col min="3570" max="3570" width="6" customWidth="1"/>
    <col min="3810" max="3810" width="3.5546875" customWidth="1"/>
    <col min="3811" max="3813" width="5.77734375" customWidth="1"/>
    <col min="3814" max="3814" width="11.109375" customWidth="1"/>
    <col min="3815" max="3822" width="5.77734375" customWidth="1"/>
    <col min="3823" max="3823" width="7.109375" customWidth="1"/>
    <col min="3824" max="3825" width="5.77734375" customWidth="1"/>
    <col min="3826" max="3826" width="6" customWidth="1"/>
    <col min="4066" max="4066" width="3.5546875" customWidth="1"/>
    <col min="4067" max="4069" width="5.77734375" customWidth="1"/>
    <col min="4070" max="4070" width="11.109375" customWidth="1"/>
    <col min="4071" max="4078" width="5.77734375" customWidth="1"/>
    <col min="4079" max="4079" width="7.109375" customWidth="1"/>
    <col min="4080" max="4081" width="5.77734375" customWidth="1"/>
    <col min="4082" max="4082" width="6" customWidth="1"/>
    <col min="4322" max="4322" width="3.5546875" customWidth="1"/>
    <col min="4323" max="4325" width="5.77734375" customWidth="1"/>
    <col min="4326" max="4326" width="11.109375" customWidth="1"/>
    <col min="4327" max="4334" width="5.77734375" customWidth="1"/>
    <col min="4335" max="4335" width="7.109375" customWidth="1"/>
    <col min="4336" max="4337" width="5.77734375" customWidth="1"/>
    <col min="4338" max="4338" width="6" customWidth="1"/>
    <col min="4578" max="4578" width="3.5546875" customWidth="1"/>
    <col min="4579" max="4581" width="5.77734375" customWidth="1"/>
    <col min="4582" max="4582" width="11.109375" customWidth="1"/>
    <col min="4583" max="4590" width="5.77734375" customWidth="1"/>
    <col min="4591" max="4591" width="7.109375" customWidth="1"/>
    <col min="4592" max="4593" width="5.77734375" customWidth="1"/>
    <col min="4594" max="4594" width="6" customWidth="1"/>
    <col min="4834" max="4834" width="3.5546875" customWidth="1"/>
    <col min="4835" max="4837" width="5.77734375" customWidth="1"/>
    <col min="4838" max="4838" width="11.109375" customWidth="1"/>
    <col min="4839" max="4846" width="5.77734375" customWidth="1"/>
    <col min="4847" max="4847" width="7.109375" customWidth="1"/>
    <col min="4848" max="4849" width="5.77734375" customWidth="1"/>
    <col min="4850" max="4850" width="6" customWidth="1"/>
    <col min="5090" max="5090" width="3.5546875" customWidth="1"/>
    <col min="5091" max="5093" width="5.77734375" customWidth="1"/>
    <col min="5094" max="5094" width="11.109375" customWidth="1"/>
    <col min="5095" max="5102" width="5.77734375" customWidth="1"/>
    <col min="5103" max="5103" width="7.109375" customWidth="1"/>
    <col min="5104" max="5105" width="5.77734375" customWidth="1"/>
    <col min="5106" max="5106" width="6" customWidth="1"/>
    <col min="5346" max="5346" width="3.5546875" customWidth="1"/>
    <col min="5347" max="5349" width="5.77734375" customWidth="1"/>
    <col min="5350" max="5350" width="11.109375" customWidth="1"/>
    <col min="5351" max="5358" width="5.77734375" customWidth="1"/>
    <col min="5359" max="5359" width="7.109375" customWidth="1"/>
    <col min="5360" max="5361" width="5.77734375" customWidth="1"/>
    <col min="5362" max="5362" width="6" customWidth="1"/>
    <col min="5602" max="5602" width="3.5546875" customWidth="1"/>
    <col min="5603" max="5605" width="5.77734375" customWidth="1"/>
    <col min="5606" max="5606" width="11.109375" customWidth="1"/>
    <col min="5607" max="5614" width="5.77734375" customWidth="1"/>
    <col min="5615" max="5615" width="7.109375" customWidth="1"/>
    <col min="5616" max="5617" width="5.77734375" customWidth="1"/>
    <col min="5618" max="5618" width="6" customWidth="1"/>
    <col min="5858" max="5858" width="3.5546875" customWidth="1"/>
    <col min="5859" max="5861" width="5.77734375" customWidth="1"/>
    <col min="5862" max="5862" width="11.109375" customWidth="1"/>
    <col min="5863" max="5870" width="5.77734375" customWidth="1"/>
    <col min="5871" max="5871" width="7.109375" customWidth="1"/>
    <col min="5872" max="5873" width="5.77734375" customWidth="1"/>
    <col min="5874" max="5874" width="6" customWidth="1"/>
    <col min="6114" max="6114" width="3.5546875" customWidth="1"/>
    <col min="6115" max="6117" width="5.77734375" customWidth="1"/>
    <col min="6118" max="6118" width="11.109375" customWidth="1"/>
    <col min="6119" max="6126" width="5.77734375" customWidth="1"/>
    <col min="6127" max="6127" width="7.109375" customWidth="1"/>
    <col min="6128" max="6129" width="5.77734375" customWidth="1"/>
    <col min="6130" max="6130" width="6" customWidth="1"/>
    <col min="6370" max="6370" width="3.5546875" customWidth="1"/>
    <col min="6371" max="6373" width="5.77734375" customWidth="1"/>
    <col min="6374" max="6374" width="11.109375" customWidth="1"/>
    <col min="6375" max="6382" width="5.77734375" customWidth="1"/>
    <col min="6383" max="6383" width="7.109375" customWidth="1"/>
    <col min="6384" max="6385" width="5.77734375" customWidth="1"/>
    <col min="6386" max="6386" width="6" customWidth="1"/>
    <col min="6626" max="6626" width="3.5546875" customWidth="1"/>
    <col min="6627" max="6629" width="5.77734375" customWidth="1"/>
    <col min="6630" max="6630" width="11.109375" customWidth="1"/>
    <col min="6631" max="6638" width="5.77734375" customWidth="1"/>
    <col min="6639" max="6639" width="7.109375" customWidth="1"/>
    <col min="6640" max="6641" width="5.77734375" customWidth="1"/>
    <col min="6642" max="6642" width="6" customWidth="1"/>
    <col min="6882" max="6882" width="3.5546875" customWidth="1"/>
    <col min="6883" max="6885" width="5.77734375" customWidth="1"/>
    <col min="6886" max="6886" width="11.109375" customWidth="1"/>
    <col min="6887" max="6894" width="5.77734375" customWidth="1"/>
    <col min="6895" max="6895" width="7.109375" customWidth="1"/>
    <col min="6896" max="6897" width="5.77734375" customWidth="1"/>
    <col min="6898" max="6898" width="6" customWidth="1"/>
    <col min="7138" max="7138" width="3.5546875" customWidth="1"/>
    <col min="7139" max="7141" width="5.77734375" customWidth="1"/>
    <col min="7142" max="7142" width="11.109375" customWidth="1"/>
    <col min="7143" max="7150" width="5.77734375" customWidth="1"/>
    <col min="7151" max="7151" width="7.109375" customWidth="1"/>
    <col min="7152" max="7153" width="5.77734375" customWidth="1"/>
    <col min="7154" max="7154" width="6" customWidth="1"/>
    <col min="7394" max="7394" width="3.5546875" customWidth="1"/>
    <col min="7395" max="7397" width="5.77734375" customWidth="1"/>
    <col min="7398" max="7398" width="11.109375" customWidth="1"/>
    <col min="7399" max="7406" width="5.77734375" customWidth="1"/>
    <col min="7407" max="7407" width="7.109375" customWidth="1"/>
    <col min="7408" max="7409" width="5.77734375" customWidth="1"/>
    <col min="7410" max="7410" width="6" customWidth="1"/>
    <col min="7650" max="7650" width="3.5546875" customWidth="1"/>
    <col min="7651" max="7653" width="5.77734375" customWidth="1"/>
    <col min="7654" max="7654" width="11.109375" customWidth="1"/>
    <col min="7655" max="7662" width="5.77734375" customWidth="1"/>
    <col min="7663" max="7663" width="7.109375" customWidth="1"/>
    <col min="7664" max="7665" width="5.77734375" customWidth="1"/>
    <col min="7666" max="7666" width="6" customWidth="1"/>
    <col min="7906" max="7906" width="3.5546875" customWidth="1"/>
    <col min="7907" max="7909" width="5.77734375" customWidth="1"/>
    <col min="7910" max="7910" width="11.109375" customWidth="1"/>
    <col min="7911" max="7918" width="5.77734375" customWidth="1"/>
    <col min="7919" max="7919" width="7.109375" customWidth="1"/>
    <col min="7920" max="7921" width="5.77734375" customWidth="1"/>
    <col min="7922" max="7922" width="6" customWidth="1"/>
    <col min="8162" max="8162" width="3.5546875" customWidth="1"/>
    <col min="8163" max="8165" width="5.77734375" customWidth="1"/>
    <col min="8166" max="8166" width="11.109375" customWidth="1"/>
    <col min="8167" max="8174" width="5.77734375" customWidth="1"/>
    <col min="8175" max="8175" width="7.109375" customWidth="1"/>
    <col min="8176" max="8177" width="5.77734375" customWidth="1"/>
    <col min="8178" max="8178" width="6" customWidth="1"/>
    <col min="8418" max="8418" width="3.5546875" customWidth="1"/>
    <col min="8419" max="8421" width="5.77734375" customWidth="1"/>
    <col min="8422" max="8422" width="11.109375" customWidth="1"/>
    <col min="8423" max="8430" width="5.77734375" customWidth="1"/>
    <col min="8431" max="8431" width="7.109375" customWidth="1"/>
    <col min="8432" max="8433" width="5.77734375" customWidth="1"/>
    <col min="8434" max="8434" width="6" customWidth="1"/>
    <col min="8674" max="8674" width="3.5546875" customWidth="1"/>
    <col min="8675" max="8677" width="5.77734375" customWidth="1"/>
    <col min="8678" max="8678" width="11.109375" customWidth="1"/>
    <col min="8679" max="8686" width="5.77734375" customWidth="1"/>
    <col min="8687" max="8687" width="7.109375" customWidth="1"/>
    <col min="8688" max="8689" width="5.77734375" customWidth="1"/>
    <col min="8690" max="8690" width="6" customWidth="1"/>
    <col min="8930" max="8930" width="3.5546875" customWidth="1"/>
    <col min="8931" max="8933" width="5.77734375" customWidth="1"/>
    <col min="8934" max="8934" width="11.109375" customWidth="1"/>
    <col min="8935" max="8942" width="5.77734375" customWidth="1"/>
    <col min="8943" max="8943" width="7.109375" customWidth="1"/>
    <col min="8944" max="8945" width="5.77734375" customWidth="1"/>
    <col min="8946" max="8946" width="6" customWidth="1"/>
    <col min="9186" max="9186" width="3.5546875" customWidth="1"/>
    <col min="9187" max="9189" width="5.77734375" customWidth="1"/>
    <col min="9190" max="9190" width="11.109375" customWidth="1"/>
    <col min="9191" max="9198" width="5.77734375" customWidth="1"/>
    <col min="9199" max="9199" width="7.109375" customWidth="1"/>
    <col min="9200" max="9201" width="5.77734375" customWidth="1"/>
    <col min="9202" max="9202" width="6" customWidth="1"/>
    <col min="9442" max="9442" width="3.5546875" customWidth="1"/>
    <col min="9443" max="9445" width="5.77734375" customWidth="1"/>
    <col min="9446" max="9446" width="11.109375" customWidth="1"/>
    <col min="9447" max="9454" width="5.77734375" customWidth="1"/>
    <col min="9455" max="9455" width="7.109375" customWidth="1"/>
    <col min="9456" max="9457" width="5.77734375" customWidth="1"/>
    <col min="9458" max="9458" width="6" customWidth="1"/>
    <col min="9698" max="9698" width="3.5546875" customWidth="1"/>
    <col min="9699" max="9701" width="5.77734375" customWidth="1"/>
    <col min="9702" max="9702" width="11.109375" customWidth="1"/>
    <col min="9703" max="9710" width="5.77734375" customWidth="1"/>
    <col min="9711" max="9711" width="7.109375" customWidth="1"/>
    <col min="9712" max="9713" width="5.77734375" customWidth="1"/>
    <col min="9714" max="9714" width="6" customWidth="1"/>
    <col min="9954" max="9954" width="3.5546875" customWidth="1"/>
    <col min="9955" max="9957" width="5.77734375" customWidth="1"/>
    <col min="9958" max="9958" width="11.109375" customWidth="1"/>
    <col min="9959" max="9966" width="5.77734375" customWidth="1"/>
    <col min="9967" max="9967" width="7.109375" customWidth="1"/>
    <col min="9968" max="9969" width="5.77734375" customWidth="1"/>
    <col min="9970" max="9970" width="6" customWidth="1"/>
    <col min="10210" max="10210" width="3.5546875" customWidth="1"/>
    <col min="10211" max="10213" width="5.77734375" customWidth="1"/>
    <col min="10214" max="10214" width="11.109375" customWidth="1"/>
    <col min="10215" max="10222" width="5.77734375" customWidth="1"/>
    <col min="10223" max="10223" width="7.109375" customWidth="1"/>
    <col min="10224" max="10225" width="5.77734375" customWidth="1"/>
    <col min="10226" max="10226" width="6" customWidth="1"/>
    <col min="10466" max="10466" width="3.5546875" customWidth="1"/>
    <col min="10467" max="10469" width="5.77734375" customWidth="1"/>
    <col min="10470" max="10470" width="11.109375" customWidth="1"/>
    <col min="10471" max="10478" width="5.77734375" customWidth="1"/>
    <col min="10479" max="10479" width="7.109375" customWidth="1"/>
    <col min="10480" max="10481" width="5.77734375" customWidth="1"/>
    <col min="10482" max="10482" width="6" customWidth="1"/>
    <col min="10722" max="10722" width="3.5546875" customWidth="1"/>
    <col min="10723" max="10725" width="5.77734375" customWidth="1"/>
    <col min="10726" max="10726" width="11.109375" customWidth="1"/>
    <col min="10727" max="10734" width="5.77734375" customWidth="1"/>
    <col min="10735" max="10735" width="7.109375" customWidth="1"/>
    <col min="10736" max="10737" width="5.77734375" customWidth="1"/>
    <col min="10738" max="10738" width="6" customWidth="1"/>
    <col min="10978" max="10978" width="3.5546875" customWidth="1"/>
    <col min="10979" max="10981" width="5.77734375" customWidth="1"/>
    <col min="10982" max="10982" width="11.109375" customWidth="1"/>
    <col min="10983" max="10990" width="5.77734375" customWidth="1"/>
    <col min="10991" max="10991" width="7.109375" customWidth="1"/>
    <col min="10992" max="10993" width="5.77734375" customWidth="1"/>
    <col min="10994" max="10994" width="6" customWidth="1"/>
    <col min="11234" max="11234" width="3.5546875" customWidth="1"/>
    <col min="11235" max="11237" width="5.77734375" customWidth="1"/>
    <col min="11238" max="11238" width="11.109375" customWidth="1"/>
    <col min="11239" max="11246" width="5.77734375" customWidth="1"/>
    <col min="11247" max="11247" width="7.109375" customWidth="1"/>
    <col min="11248" max="11249" width="5.77734375" customWidth="1"/>
    <col min="11250" max="11250" width="6" customWidth="1"/>
    <col min="11490" max="11490" width="3.5546875" customWidth="1"/>
    <col min="11491" max="11493" width="5.77734375" customWidth="1"/>
    <col min="11494" max="11494" width="11.109375" customWidth="1"/>
    <col min="11495" max="11502" width="5.77734375" customWidth="1"/>
    <col min="11503" max="11503" width="7.109375" customWidth="1"/>
    <col min="11504" max="11505" width="5.77734375" customWidth="1"/>
    <col min="11506" max="11506" width="6" customWidth="1"/>
    <col min="11746" max="11746" width="3.5546875" customWidth="1"/>
    <col min="11747" max="11749" width="5.77734375" customWidth="1"/>
    <col min="11750" max="11750" width="11.109375" customWidth="1"/>
    <col min="11751" max="11758" width="5.77734375" customWidth="1"/>
    <col min="11759" max="11759" width="7.109375" customWidth="1"/>
    <col min="11760" max="11761" width="5.77734375" customWidth="1"/>
    <col min="11762" max="11762" width="6" customWidth="1"/>
    <col min="12002" max="12002" width="3.5546875" customWidth="1"/>
    <col min="12003" max="12005" width="5.77734375" customWidth="1"/>
    <col min="12006" max="12006" width="11.109375" customWidth="1"/>
    <col min="12007" max="12014" width="5.77734375" customWidth="1"/>
    <col min="12015" max="12015" width="7.109375" customWidth="1"/>
    <col min="12016" max="12017" width="5.77734375" customWidth="1"/>
    <col min="12018" max="12018" width="6" customWidth="1"/>
    <col min="12258" max="12258" width="3.5546875" customWidth="1"/>
    <col min="12259" max="12261" width="5.77734375" customWidth="1"/>
    <col min="12262" max="12262" width="11.109375" customWidth="1"/>
    <col min="12263" max="12270" width="5.77734375" customWidth="1"/>
    <col min="12271" max="12271" width="7.109375" customWidth="1"/>
    <col min="12272" max="12273" width="5.77734375" customWidth="1"/>
    <col min="12274" max="12274" width="6" customWidth="1"/>
    <col min="12514" max="12514" width="3.5546875" customWidth="1"/>
    <col min="12515" max="12517" width="5.77734375" customWidth="1"/>
    <col min="12518" max="12518" width="11.109375" customWidth="1"/>
    <col min="12519" max="12526" width="5.77734375" customWidth="1"/>
    <col min="12527" max="12527" width="7.109375" customWidth="1"/>
    <col min="12528" max="12529" width="5.77734375" customWidth="1"/>
    <col min="12530" max="12530" width="6" customWidth="1"/>
    <col min="12770" max="12770" width="3.5546875" customWidth="1"/>
    <col min="12771" max="12773" width="5.77734375" customWidth="1"/>
    <col min="12774" max="12774" width="11.109375" customWidth="1"/>
    <col min="12775" max="12782" width="5.77734375" customWidth="1"/>
    <col min="12783" max="12783" width="7.109375" customWidth="1"/>
    <col min="12784" max="12785" width="5.77734375" customWidth="1"/>
    <col min="12786" max="12786" width="6" customWidth="1"/>
    <col min="13026" max="13026" width="3.5546875" customWidth="1"/>
    <col min="13027" max="13029" width="5.77734375" customWidth="1"/>
    <col min="13030" max="13030" width="11.109375" customWidth="1"/>
    <col min="13031" max="13038" width="5.77734375" customWidth="1"/>
    <col min="13039" max="13039" width="7.109375" customWidth="1"/>
    <col min="13040" max="13041" width="5.77734375" customWidth="1"/>
    <col min="13042" max="13042" width="6" customWidth="1"/>
    <col min="13282" max="13282" width="3.5546875" customWidth="1"/>
    <col min="13283" max="13285" width="5.77734375" customWidth="1"/>
    <col min="13286" max="13286" width="11.109375" customWidth="1"/>
    <col min="13287" max="13294" width="5.77734375" customWidth="1"/>
    <col min="13295" max="13295" width="7.109375" customWidth="1"/>
    <col min="13296" max="13297" width="5.77734375" customWidth="1"/>
    <col min="13298" max="13298" width="6" customWidth="1"/>
    <col min="13538" max="13538" width="3.5546875" customWidth="1"/>
    <col min="13539" max="13541" width="5.77734375" customWidth="1"/>
    <col min="13542" max="13542" width="11.109375" customWidth="1"/>
    <col min="13543" max="13550" width="5.77734375" customWidth="1"/>
    <col min="13551" max="13551" width="7.109375" customWidth="1"/>
    <col min="13552" max="13553" width="5.77734375" customWidth="1"/>
    <col min="13554" max="13554" width="6" customWidth="1"/>
    <col min="13794" max="13794" width="3.5546875" customWidth="1"/>
    <col min="13795" max="13797" width="5.77734375" customWidth="1"/>
    <col min="13798" max="13798" width="11.109375" customWidth="1"/>
    <col min="13799" max="13806" width="5.77734375" customWidth="1"/>
    <col min="13807" max="13807" width="7.109375" customWidth="1"/>
    <col min="13808" max="13809" width="5.77734375" customWidth="1"/>
    <col min="13810" max="13810" width="6" customWidth="1"/>
    <col min="14050" max="14050" width="3.5546875" customWidth="1"/>
    <col min="14051" max="14053" width="5.77734375" customWidth="1"/>
    <col min="14054" max="14054" width="11.109375" customWidth="1"/>
    <col min="14055" max="14062" width="5.77734375" customWidth="1"/>
    <col min="14063" max="14063" width="7.109375" customWidth="1"/>
    <col min="14064" max="14065" width="5.77734375" customWidth="1"/>
    <col min="14066" max="14066" width="6" customWidth="1"/>
    <col min="14306" max="14306" width="3.5546875" customWidth="1"/>
    <col min="14307" max="14309" width="5.77734375" customWidth="1"/>
    <col min="14310" max="14310" width="11.109375" customWidth="1"/>
    <col min="14311" max="14318" width="5.77734375" customWidth="1"/>
    <col min="14319" max="14319" width="7.109375" customWidth="1"/>
    <col min="14320" max="14321" width="5.77734375" customWidth="1"/>
    <col min="14322" max="14322" width="6" customWidth="1"/>
    <col min="14562" max="14562" width="3.5546875" customWidth="1"/>
    <col min="14563" max="14565" width="5.77734375" customWidth="1"/>
    <col min="14566" max="14566" width="11.109375" customWidth="1"/>
    <col min="14567" max="14574" width="5.77734375" customWidth="1"/>
    <col min="14575" max="14575" width="7.109375" customWidth="1"/>
    <col min="14576" max="14577" width="5.77734375" customWidth="1"/>
    <col min="14578" max="14578" width="6" customWidth="1"/>
    <col min="14818" max="14818" width="3.5546875" customWidth="1"/>
    <col min="14819" max="14821" width="5.77734375" customWidth="1"/>
    <col min="14822" max="14822" width="11.109375" customWidth="1"/>
    <col min="14823" max="14830" width="5.77734375" customWidth="1"/>
    <col min="14831" max="14831" width="7.109375" customWidth="1"/>
    <col min="14832" max="14833" width="5.77734375" customWidth="1"/>
    <col min="14834" max="14834" width="6" customWidth="1"/>
    <col min="15074" max="15074" width="3.5546875" customWidth="1"/>
    <col min="15075" max="15077" width="5.77734375" customWidth="1"/>
    <col min="15078" max="15078" width="11.109375" customWidth="1"/>
    <col min="15079" max="15086" width="5.77734375" customWidth="1"/>
    <col min="15087" max="15087" width="7.109375" customWidth="1"/>
    <col min="15088" max="15089" width="5.77734375" customWidth="1"/>
    <col min="15090" max="15090" width="6" customWidth="1"/>
    <col min="15330" max="15330" width="3.5546875" customWidth="1"/>
    <col min="15331" max="15333" width="5.77734375" customWidth="1"/>
    <col min="15334" max="15334" width="11.109375" customWidth="1"/>
    <col min="15335" max="15342" width="5.77734375" customWidth="1"/>
    <col min="15343" max="15343" width="7.109375" customWidth="1"/>
    <col min="15344" max="15345" width="5.77734375" customWidth="1"/>
    <col min="15346" max="15346" width="6" customWidth="1"/>
    <col min="15586" max="15586" width="3.5546875" customWidth="1"/>
    <col min="15587" max="15589" width="5.77734375" customWidth="1"/>
    <col min="15590" max="15590" width="11.109375" customWidth="1"/>
    <col min="15591" max="15598" width="5.77734375" customWidth="1"/>
    <col min="15599" max="15599" width="7.109375" customWidth="1"/>
    <col min="15600" max="15601" width="5.77734375" customWidth="1"/>
    <col min="15602" max="15602" width="6" customWidth="1"/>
    <col min="15842" max="15842" width="3.5546875" customWidth="1"/>
    <col min="15843" max="15845" width="5.77734375" customWidth="1"/>
    <col min="15846" max="15846" width="11.109375" customWidth="1"/>
    <col min="15847" max="15854" width="5.77734375" customWidth="1"/>
    <col min="15855" max="15855" width="7.109375" customWidth="1"/>
    <col min="15856" max="15857" width="5.77734375" customWidth="1"/>
    <col min="15858" max="15858" width="6" customWidth="1"/>
    <col min="16098" max="16098" width="3.5546875" customWidth="1"/>
    <col min="16099" max="16101" width="5.77734375" customWidth="1"/>
    <col min="16102" max="16102" width="11.109375" customWidth="1"/>
    <col min="16103" max="16110" width="5.77734375" customWidth="1"/>
    <col min="16111" max="16111" width="7.109375" customWidth="1"/>
    <col min="16112" max="16113" width="5.77734375" customWidth="1"/>
    <col min="16114" max="16114" width="6" customWidth="1"/>
  </cols>
  <sheetData>
    <row r="1" spans="1:16" ht="47.25" customHeight="1">
      <c r="A1" s="288" t="s">
        <v>264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</row>
    <row r="2" spans="1:16" ht="29.25" customHeight="1" thickBot="1">
      <c r="A2" s="309" t="s">
        <v>263</v>
      </c>
      <c r="B2" s="309"/>
      <c r="C2" s="309"/>
      <c r="D2" s="309"/>
      <c r="E2" s="194"/>
      <c r="F2" s="3"/>
      <c r="G2" s="2"/>
      <c r="H2" s="2"/>
      <c r="I2" s="2"/>
      <c r="J2" s="2"/>
      <c r="K2" s="307"/>
      <c r="L2" s="307"/>
      <c r="M2" s="308"/>
      <c r="N2" s="308"/>
      <c r="O2" s="308"/>
      <c r="P2" s="308"/>
    </row>
    <row r="3" spans="1:16" ht="16.5" customHeight="1">
      <c r="A3" s="289" t="s">
        <v>11</v>
      </c>
      <c r="B3" s="292" t="s">
        <v>3</v>
      </c>
      <c r="C3" s="295" t="s">
        <v>261</v>
      </c>
      <c r="D3" s="295" t="s">
        <v>258</v>
      </c>
      <c r="E3" s="295" t="s">
        <v>260</v>
      </c>
      <c r="F3" s="295" t="s">
        <v>21</v>
      </c>
      <c r="G3" s="305" t="s">
        <v>4</v>
      </c>
      <c r="H3" s="306"/>
      <c r="I3" s="305" t="s">
        <v>0</v>
      </c>
      <c r="J3" s="306"/>
      <c r="K3" s="305" t="s">
        <v>1</v>
      </c>
      <c r="L3" s="306"/>
      <c r="M3" s="295" t="s">
        <v>245</v>
      </c>
      <c r="N3" s="322" t="s">
        <v>244</v>
      </c>
      <c r="O3" s="295" t="s">
        <v>22</v>
      </c>
      <c r="P3" s="298" t="s">
        <v>23</v>
      </c>
    </row>
    <row r="4" spans="1:16" ht="14.45" customHeight="1">
      <c r="A4" s="290"/>
      <c r="B4" s="293"/>
      <c r="C4" s="296"/>
      <c r="D4" s="296"/>
      <c r="E4" s="296"/>
      <c r="F4" s="296"/>
      <c r="G4" s="301" t="s">
        <v>2</v>
      </c>
      <c r="H4" s="303" t="s">
        <v>13</v>
      </c>
      <c r="I4" s="301" t="s">
        <v>2</v>
      </c>
      <c r="J4" s="303" t="s">
        <v>13</v>
      </c>
      <c r="K4" s="301" t="s">
        <v>2</v>
      </c>
      <c r="L4" s="303" t="s">
        <v>13</v>
      </c>
      <c r="M4" s="296"/>
      <c r="N4" s="323"/>
      <c r="O4" s="296"/>
      <c r="P4" s="299"/>
    </row>
    <row r="5" spans="1:16" ht="14.45" customHeight="1" thickBot="1">
      <c r="A5" s="291"/>
      <c r="B5" s="294"/>
      <c r="C5" s="297"/>
      <c r="D5" s="297"/>
      <c r="E5" s="297"/>
      <c r="F5" s="297"/>
      <c r="G5" s="302"/>
      <c r="H5" s="304"/>
      <c r="I5" s="302"/>
      <c r="J5" s="304"/>
      <c r="K5" s="302"/>
      <c r="L5" s="304"/>
      <c r="M5" s="297"/>
      <c r="N5" s="324"/>
      <c r="O5" s="297"/>
      <c r="P5" s="300"/>
    </row>
    <row r="6" spans="1:16" ht="14.45" hidden="1" customHeight="1" thickBot="1">
      <c r="A6" s="114"/>
      <c r="B6" s="115"/>
      <c r="C6" s="134"/>
      <c r="D6" s="113"/>
      <c r="E6"/>
      <c r="F6"/>
      <c r="G6" s="133"/>
      <c r="H6" s="135"/>
      <c r="I6" s="136"/>
      <c r="J6" s="135"/>
      <c r="K6" s="136"/>
      <c r="L6" s="164"/>
      <c r="M6" s="165"/>
      <c r="N6" s="178"/>
      <c r="O6" s="116"/>
      <c r="P6" s="117"/>
    </row>
    <row r="7" spans="1:16" ht="15.6" customHeight="1">
      <c r="A7" s="268" t="s">
        <v>14</v>
      </c>
      <c r="B7" s="244" t="s">
        <v>259</v>
      </c>
      <c r="C7" s="118" t="s">
        <v>265</v>
      </c>
      <c r="D7" s="199" t="s">
        <v>27</v>
      </c>
      <c r="E7" s="123">
        <f t="shared" ref="E7:E37" si="0">IFERROR(VLOOKUP(D7, 기본학점, 2, FALSE), "")</f>
        <v>4</v>
      </c>
      <c r="F7" s="124">
        <v>4</v>
      </c>
      <c r="G7" s="217">
        <v>4</v>
      </c>
      <c r="H7" s="218"/>
      <c r="I7" s="80"/>
      <c r="J7" s="79"/>
      <c r="K7" s="80"/>
      <c r="L7" s="81"/>
      <c r="M7" s="198"/>
      <c r="N7" s="179"/>
      <c r="O7" s="262">
        <f>SUM(F7:F10)</f>
        <v>16</v>
      </c>
      <c r="P7" s="264">
        <v>8</v>
      </c>
    </row>
    <row r="8" spans="1:16" ht="15.6" customHeight="1">
      <c r="A8" s="269"/>
      <c r="B8" s="236"/>
      <c r="C8" s="221" t="s">
        <v>265</v>
      </c>
      <c r="D8" s="202" t="s">
        <v>31</v>
      </c>
      <c r="E8" s="215">
        <f>IFERROR(VLOOKUP(D8, 기본학점, 2, FALSE), "")</f>
        <v>4</v>
      </c>
      <c r="F8" s="172">
        <v>4</v>
      </c>
      <c r="G8" s="144"/>
      <c r="H8" s="150">
        <v>4</v>
      </c>
      <c r="I8" s="83"/>
      <c r="J8" s="82"/>
      <c r="K8" s="83"/>
      <c r="L8" s="84"/>
      <c r="M8" s="201"/>
      <c r="N8" s="179"/>
      <c r="O8" s="263"/>
      <c r="P8" s="239"/>
    </row>
    <row r="9" spans="1:16" ht="15.6" customHeight="1">
      <c r="A9" s="269"/>
      <c r="B9" s="236"/>
      <c r="C9" s="221" t="s">
        <v>266</v>
      </c>
      <c r="D9" s="202" t="s">
        <v>30</v>
      </c>
      <c r="E9" s="215">
        <f>IFERROR(VLOOKUP(D9, 기본학점, 2, FALSE), "")</f>
        <v>4</v>
      </c>
      <c r="F9" s="172">
        <v>4</v>
      </c>
      <c r="G9" s="144"/>
      <c r="H9" s="150"/>
      <c r="I9" s="83">
        <v>4</v>
      </c>
      <c r="J9" s="82"/>
      <c r="K9" s="83"/>
      <c r="L9" s="84"/>
      <c r="M9" s="201"/>
      <c r="N9" s="179"/>
      <c r="O9" s="263"/>
      <c r="P9" s="239"/>
    </row>
    <row r="10" spans="1:16" ht="15.6" customHeight="1">
      <c r="A10" s="269"/>
      <c r="B10" s="236"/>
      <c r="C10" s="221" t="s">
        <v>266</v>
      </c>
      <c r="D10" s="207" t="s">
        <v>269</v>
      </c>
      <c r="E10" s="168">
        <f t="shared" si="0"/>
        <v>4</v>
      </c>
      <c r="F10" s="192">
        <v>4</v>
      </c>
      <c r="G10" s="144"/>
      <c r="H10" s="150"/>
      <c r="I10" s="83"/>
      <c r="J10" s="82">
        <v>4</v>
      </c>
      <c r="K10" s="83"/>
      <c r="L10" s="84"/>
      <c r="M10" s="201"/>
      <c r="N10" s="179"/>
      <c r="O10" s="263"/>
      <c r="P10" s="239"/>
    </row>
    <row r="11" spans="1:16" ht="15.6" customHeight="1">
      <c r="A11" s="269"/>
      <c r="B11" s="235" t="s">
        <v>7</v>
      </c>
      <c r="C11" s="85" t="s">
        <v>265</v>
      </c>
      <c r="D11" s="205" t="s">
        <v>28</v>
      </c>
      <c r="E11" s="167">
        <f t="shared" si="0"/>
        <v>4</v>
      </c>
      <c r="F11" s="167">
        <v>4</v>
      </c>
      <c r="G11" s="126">
        <v>4</v>
      </c>
      <c r="H11" s="151"/>
      <c r="I11" s="87"/>
      <c r="J11" s="86"/>
      <c r="K11" s="126"/>
      <c r="L11" s="151"/>
      <c r="M11" s="206"/>
      <c r="N11" s="181"/>
      <c r="O11" s="325">
        <f>SUM(F11:F14)</f>
        <v>16</v>
      </c>
      <c r="P11" s="238">
        <v>8</v>
      </c>
    </row>
    <row r="12" spans="1:16" ht="15.6" customHeight="1">
      <c r="A12" s="269"/>
      <c r="B12" s="236"/>
      <c r="C12" s="166" t="s">
        <v>265</v>
      </c>
      <c r="D12" s="202" t="s">
        <v>34</v>
      </c>
      <c r="E12" s="215">
        <f t="shared" si="0"/>
        <v>4</v>
      </c>
      <c r="F12" s="193">
        <v>4</v>
      </c>
      <c r="G12" s="128"/>
      <c r="H12" s="150">
        <v>4</v>
      </c>
      <c r="I12" s="83"/>
      <c r="J12" s="82"/>
      <c r="K12" s="128"/>
      <c r="L12" s="150"/>
      <c r="M12" s="201"/>
      <c r="N12" s="179"/>
      <c r="O12" s="263"/>
      <c r="P12" s="239"/>
    </row>
    <row r="13" spans="1:16" ht="15.6" customHeight="1">
      <c r="A13" s="269"/>
      <c r="B13" s="236"/>
      <c r="C13" s="166" t="s">
        <v>266</v>
      </c>
      <c r="D13" s="202" t="s">
        <v>270</v>
      </c>
      <c r="E13" s="215">
        <f>IFERROR(VLOOKUP(D13, 기본학점, 2, FALSE), "")</f>
        <v>4</v>
      </c>
      <c r="F13" s="172">
        <v>4</v>
      </c>
      <c r="G13" s="128"/>
      <c r="H13" s="150"/>
      <c r="I13" s="83">
        <v>4</v>
      </c>
      <c r="J13" s="82"/>
      <c r="K13" s="128"/>
      <c r="L13" s="150"/>
      <c r="M13" s="201"/>
      <c r="N13" s="179"/>
      <c r="O13" s="263"/>
      <c r="P13" s="239"/>
    </row>
    <row r="14" spans="1:16" ht="15.6" customHeight="1">
      <c r="A14" s="269"/>
      <c r="B14" s="236"/>
      <c r="C14" s="166" t="s">
        <v>266</v>
      </c>
      <c r="D14" s="202" t="s">
        <v>271</v>
      </c>
      <c r="E14" s="168">
        <f t="shared" si="0"/>
        <v>4</v>
      </c>
      <c r="F14" s="172">
        <v>4</v>
      </c>
      <c r="G14" s="128"/>
      <c r="H14" s="150"/>
      <c r="I14" s="83"/>
      <c r="J14" s="82">
        <v>4</v>
      </c>
      <c r="K14" s="128"/>
      <c r="L14" s="150"/>
      <c r="M14" s="201"/>
      <c r="N14" s="179"/>
      <c r="O14" s="263"/>
      <c r="P14" s="239"/>
    </row>
    <row r="15" spans="1:16" ht="15.6" customHeight="1">
      <c r="A15" s="269"/>
      <c r="B15" s="235" t="s">
        <v>16</v>
      </c>
      <c r="C15" s="85" t="s">
        <v>265</v>
      </c>
      <c r="D15" s="205" t="s">
        <v>29</v>
      </c>
      <c r="E15" s="222">
        <f t="shared" si="0"/>
        <v>4</v>
      </c>
      <c r="F15" s="170">
        <v>4</v>
      </c>
      <c r="G15" s="143">
        <v>4</v>
      </c>
      <c r="H15" s="151"/>
      <c r="I15" s="87"/>
      <c r="J15" s="86"/>
      <c r="K15" s="87"/>
      <c r="L15" s="86"/>
      <c r="M15" s="206"/>
      <c r="N15" s="181"/>
      <c r="O15" s="243">
        <f>SUM(F15:F18)</f>
        <v>16</v>
      </c>
      <c r="P15" s="238">
        <v>8</v>
      </c>
    </row>
    <row r="16" spans="1:16" ht="15.6" customHeight="1">
      <c r="A16" s="269"/>
      <c r="B16" s="236"/>
      <c r="C16" s="166" t="s">
        <v>265</v>
      </c>
      <c r="D16" s="202" t="s">
        <v>40</v>
      </c>
      <c r="E16" s="215">
        <f>IFERROR(VLOOKUP(D16, 기본학점, 2, FALSE), "")</f>
        <v>4</v>
      </c>
      <c r="F16" s="172">
        <v>4</v>
      </c>
      <c r="G16" s="144"/>
      <c r="H16" s="150">
        <v>4</v>
      </c>
      <c r="I16" s="83"/>
      <c r="J16" s="82"/>
      <c r="K16" s="83"/>
      <c r="L16" s="82"/>
      <c r="M16" s="201"/>
      <c r="N16" s="179"/>
      <c r="O16" s="241"/>
      <c r="P16" s="239"/>
    </row>
    <row r="17" spans="1:16" ht="15.6" customHeight="1">
      <c r="A17" s="269"/>
      <c r="B17" s="236"/>
      <c r="C17" s="166" t="s">
        <v>266</v>
      </c>
      <c r="D17" s="202" t="s">
        <v>272</v>
      </c>
      <c r="E17" s="215">
        <f>IFERROR(VLOOKUP(D17, 기본학점, 2, FALSE), "")</f>
        <v>4</v>
      </c>
      <c r="F17" s="172">
        <v>4</v>
      </c>
      <c r="G17" s="144"/>
      <c r="H17" s="150"/>
      <c r="I17" s="83">
        <v>4</v>
      </c>
      <c r="J17" s="82"/>
      <c r="K17" s="83"/>
      <c r="L17" s="82"/>
      <c r="M17" s="201"/>
      <c r="N17" s="179"/>
      <c r="O17" s="241"/>
      <c r="P17" s="239"/>
    </row>
    <row r="18" spans="1:16" ht="15.6" customHeight="1">
      <c r="A18" s="269"/>
      <c r="B18" s="236"/>
      <c r="C18" s="166" t="s">
        <v>266</v>
      </c>
      <c r="D18" s="202" t="s">
        <v>273</v>
      </c>
      <c r="E18" s="168">
        <f t="shared" si="0"/>
        <v>4</v>
      </c>
      <c r="F18" s="172">
        <v>4</v>
      </c>
      <c r="G18" s="144"/>
      <c r="H18" s="150"/>
      <c r="I18" s="83"/>
      <c r="J18" s="82">
        <v>4</v>
      </c>
      <c r="K18" s="83"/>
      <c r="L18" s="82"/>
      <c r="M18" s="201"/>
      <c r="N18" s="179"/>
      <c r="O18" s="241"/>
      <c r="P18" s="239"/>
    </row>
    <row r="19" spans="1:16" ht="15.6" customHeight="1">
      <c r="A19" s="269"/>
      <c r="B19" s="235" t="s">
        <v>186</v>
      </c>
      <c r="C19" s="121" t="s">
        <v>265</v>
      </c>
      <c r="D19" s="205" t="s">
        <v>274</v>
      </c>
      <c r="E19" s="222">
        <f t="shared" si="0"/>
        <v>3</v>
      </c>
      <c r="F19" s="170">
        <v>3</v>
      </c>
      <c r="G19" s="143">
        <v>3</v>
      </c>
      <c r="H19" s="151"/>
      <c r="I19" s="87"/>
      <c r="J19" s="86"/>
      <c r="K19" s="87"/>
      <c r="L19" s="88"/>
      <c r="M19" s="206"/>
      <c r="N19" s="181"/>
      <c r="O19" s="243">
        <f>SUM(F19:F20)</f>
        <v>6</v>
      </c>
      <c r="P19" s="238">
        <v>6</v>
      </c>
    </row>
    <row r="20" spans="1:16" ht="15.6" customHeight="1">
      <c r="A20" s="269"/>
      <c r="B20" s="236"/>
      <c r="C20" s="120" t="s">
        <v>265</v>
      </c>
      <c r="D20" s="207" t="s">
        <v>275</v>
      </c>
      <c r="E20" s="192">
        <f t="shared" si="0"/>
        <v>3</v>
      </c>
      <c r="F20" s="169">
        <v>3</v>
      </c>
      <c r="G20" s="145"/>
      <c r="H20" s="152">
        <v>3</v>
      </c>
      <c r="I20" s="90"/>
      <c r="J20" s="89"/>
      <c r="K20" s="90"/>
      <c r="L20" s="89"/>
      <c r="M20" s="207"/>
      <c r="N20" s="120"/>
      <c r="O20" s="242"/>
      <c r="P20" s="265"/>
    </row>
    <row r="21" spans="1:16" ht="15.6" customHeight="1">
      <c r="A21" s="269"/>
      <c r="B21" s="236"/>
      <c r="C21" s="85" t="s">
        <v>265</v>
      </c>
      <c r="D21" s="205" t="s">
        <v>276</v>
      </c>
      <c r="E21" s="222">
        <f t="shared" si="0"/>
        <v>4</v>
      </c>
      <c r="F21" s="170">
        <v>4</v>
      </c>
      <c r="G21" s="143">
        <v>4</v>
      </c>
      <c r="H21" s="151"/>
      <c r="I21" s="87"/>
      <c r="J21" s="86"/>
      <c r="K21" s="87"/>
      <c r="L21" s="88"/>
      <c r="M21" s="206"/>
      <c r="N21" s="85"/>
      <c r="O21" s="243">
        <f>SUM(F21:F22)</f>
        <v>8</v>
      </c>
      <c r="P21" s="238">
        <v>8</v>
      </c>
    </row>
    <row r="22" spans="1:16" ht="15.6" customHeight="1">
      <c r="A22" s="269"/>
      <c r="B22" s="236"/>
      <c r="C22" s="166" t="s">
        <v>265</v>
      </c>
      <c r="D22" s="202" t="s">
        <v>277</v>
      </c>
      <c r="E22" s="192">
        <f t="shared" si="0"/>
        <v>4</v>
      </c>
      <c r="F22" s="172">
        <v>4</v>
      </c>
      <c r="G22" s="144"/>
      <c r="H22" s="150">
        <v>4</v>
      </c>
      <c r="I22" s="83"/>
      <c r="J22" s="82"/>
      <c r="K22" s="83"/>
      <c r="L22" s="84"/>
      <c r="M22" s="201"/>
      <c r="N22" s="166"/>
      <c r="O22" s="241"/>
      <c r="P22" s="239"/>
    </row>
    <row r="23" spans="1:16" ht="15.6" customHeight="1">
      <c r="A23" s="269"/>
      <c r="B23" s="235" t="s">
        <v>8</v>
      </c>
      <c r="C23" s="85" t="s">
        <v>265</v>
      </c>
      <c r="D23" s="205" t="s">
        <v>278</v>
      </c>
      <c r="E23" s="222">
        <f t="shared" si="0"/>
        <v>4</v>
      </c>
      <c r="F23" s="170">
        <v>4</v>
      </c>
      <c r="G23" s="143">
        <v>4</v>
      </c>
      <c r="H23" s="151"/>
      <c r="I23" s="87"/>
      <c r="J23" s="86"/>
      <c r="K23" s="92"/>
      <c r="L23" s="93"/>
      <c r="M23" s="206"/>
      <c r="N23" s="85"/>
      <c r="O23" s="243">
        <f>SUM(F23:F26)</f>
        <v>10</v>
      </c>
      <c r="P23" s="238">
        <v>10</v>
      </c>
    </row>
    <row r="24" spans="1:16" ht="15.6" customHeight="1">
      <c r="A24" s="269"/>
      <c r="B24" s="236"/>
      <c r="C24" s="119" t="s">
        <v>265</v>
      </c>
      <c r="D24" s="202" t="s">
        <v>279</v>
      </c>
      <c r="E24" s="215">
        <f t="shared" si="0"/>
        <v>4</v>
      </c>
      <c r="F24" s="172">
        <v>4</v>
      </c>
      <c r="G24" s="144"/>
      <c r="H24" s="150">
        <v>4</v>
      </c>
      <c r="I24" s="83"/>
      <c r="J24" s="82"/>
      <c r="K24" s="94"/>
      <c r="L24" s="95"/>
      <c r="M24" s="201"/>
      <c r="N24" s="179"/>
      <c r="O24" s="241"/>
      <c r="P24" s="239"/>
    </row>
    <row r="25" spans="1:16" ht="15.6" customHeight="1">
      <c r="A25" s="269"/>
      <c r="B25" s="236"/>
      <c r="C25" s="166" t="s">
        <v>265</v>
      </c>
      <c r="D25" s="202" t="s">
        <v>280</v>
      </c>
      <c r="E25" s="215">
        <f t="shared" si="0"/>
        <v>1</v>
      </c>
      <c r="F25" s="172">
        <v>1</v>
      </c>
      <c r="G25" s="144">
        <v>1</v>
      </c>
      <c r="H25" s="150"/>
      <c r="I25" s="83"/>
      <c r="J25" s="82"/>
      <c r="K25" s="94"/>
      <c r="L25" s="95"/>
      <c r="M25" s="201"/>
      <c r="N25" s="179"/>
      <c r="O25" s="241"/>
      <c r="P25" s="239"/>
    </row>
    <row r="26" spans="1:16" ht="15.6" customHeight="1">
      <c r="A26" s="269"/>
      <c r="B26" s="236"/>
      <c r="C26" s="166" t="s">
        <v>265</v>
      </c>
      <c r="D26" s="202" t="s">
        <v>281</v>
      </c>
      <c r="E26" s="192">
        <f t="shared" si="0"/>
        <v>1</v>
      </c>
      <c r="F26" s="172">
        <v>1</v>
      </c>
      <c r="G26" s="144"/>
      <c r="H26" s="150">
        <v>1</v>
      </c>
      <c r="I26" s="83"/>
      <c r="J26" s="82"/>
      <c r="K26" s="94"/>
      <c r="L26" s="95"/>
      <c r="M26" s="201"/>
      <c r="N26" s="179"/>
      <c r="O26" s="241"/>
      <c r="P26" s="239"/>
    </row>
    <row r="27" spans="1:16" ht="15.6" customHeight="1">
      <c r="A27" s="269"/>
      <c r="B27" s="235" t="s">
        <v>9</v>
      </c>
      <c r="C27" s="85" t="s">
        <v>266</v>
      </c>
      <c r="D27" s="205" t="s">
        <v>282</v>
      </c>
      <c r="E27" s="222">
        <f t="shared" si="0"/>
        <v>3</v>
      </c>
      <c r="F27" s="167">
        <v>2</v>
      </c>
      <c r="G27" s="126">
        <v>2</v>
      </c>
      <c r="H27" s="151"/>
      <c r="I27" s="87"/>
      <c r="J27" s="86"/>
      <c r="K27" s="87"/>
      <c r="L27" s="88"/>
      <c r="M27" s="206"/>
      <c r="N27" s="85"/>
      <c r="O27" s="243">
        <f>SUM(F27:F32)</f>
        <v>10</v>
      </c>
      <c r="P27" s="238">
        <v>10</v>
      </c>
    </row>
    <row r="28" spans="1:16" ht="15.6" customHeight="1">
      <c r="A28" s="269"/>
      <c r="B28" s="236"/>
      <c r="C28" s="166" t="s">
        <v>266</v>
      </c>
      <c r="D28" s="202" t="s">
        <v>283</v>
      </c>
      <c r="E28" s="215">
        <f>IFERROR(VLOOKUP(D28, 기본학점, 2, FALSE), "")</f>
        <v>3</v>
      </c>
      <c r="F28" s="172">
        <v>2</v>
      </c>
      <c r="G28" s="128"/>
      <c r="H28" s="150">
        <v>2</v>
      </c>
      <c r="I28" s="83"/>
      <c r="J28" s="82"/>
      <c r="K28" s="83"/>
      <c r="L28" s="84"/>
      <c r="M28" s="201"/>
      <c r="N28" s="179"/>
      <c r="O28" s="241"/>
      <c r="P28" s="239"/>
    </row>
    <row r="29" spans="1:16" ht="15.6" customHeight="1">
      <c r="A29" s="269"/>
      <c r="B29" s="236"/>
      <c r="C29" s="166" t="s">
        <v>267</v>
      </c>
      <c r="D29" s="202" t="s">
        <v>170</v>
      </c>
      <c r="E29" s="215">
        <f t="shared" si="0"/>
        <v>3</v>
      </c>
      <c r="F29" s="172">
        <v>2</v>
      </c>
      <c r="G29" s="128"/>
      <c r="H29" s="150"/>
      <c r="I29" s="83">
        <v>2</v>
      </c>
      <c r="J29" s="82"/>
      <c r="K29" s="83"/>
      <c r="L29" s="84"/>
      <c r="M29" s="201"/>
      <c r="N29" s="179"/>
      <c r="O29" s="241"/>
      <c r="P29" s="239"/>
    </row>
    <row r="30" spans="1:16" ht="15.6" customHeight="1">
      <c r="A30" s="269"/>
      <c r="B30" s="236"/>
      <c r="C30" s="166" t="s">
        <v>267</v>
      </c>
      <c r="D30" s="202" t="s">
        <v>171</v>
      </c>
      <c r="E30" s="215">
        <f>IFERROR(VLOOKUP(D30, 기본학점, 2, FALSE), "")</f>
        <v>3</v>
      </c>
      <c r="F30" s="172">
        <v>2</v>
      </c>
      <c r="G30" s="128"/>
      <c r="H30" s="150"/>
      <c r="I30" s="83"/>
      <c r="J30" s="82">
        <v>2</v>
      </c>
      <c r="K30" s="83"/>
      <c r="L30" s="84"/>
      <c r="M30" s="201"/>
      <c r="N30" s="179"/>
      <c r="O30" s="241"/>
      <c r="P30" s="239"/>
    </row>
    <row r="31" spans="1:16" ht="15.6" customHeight="1">
      <c r="A31" s="269"/>
      <c r="B31" s="236"/>
      <c r="C31" s="166" t="s">
        <v>268</v>
      </c>
      <c r="D31" s="202" t="s">
        <v>284</v>
      </c>
      <c r="E31" s="215">
        <f>IFERROR(VLOOKUP(D31, 기본학점, 2, FALSE), "")</f>
        <v>2</v>
      </c>
      <c r="F31" s="172">
        <v>1</v>
      </c>
      <c r="G31" s="128"/>
      <c r="H31" s="150"/>
      <c r="I31" s="83"/>
      <c r="J31" s="82"/>
      <c r="K31" s="83">
        <v>1</v>
      </c>
      <c r="L31" s="84"/>
      <c r="M31" s="201"/>
      <c r="N31" s="179"/>
      <c r="O31" s="241"/>
      <c r="P31" s="239"/>
    </row>
    <row r="32" spans="1:16" ht="15.6" customHeight="1">
      <c r="A32" s="269"/>
      <c r="B32" s="237"/>
      <c r="C32" s="180" t="s">
        <v>268</v>
      </c>
      <c r="D32" s="204" t="s">
        <v>285</v>
      </c>
      <c r="E32" s="168">
        <f t="shared" si="0"/>
        <v>2</v>
      </c>
      <c r="F32" s="171">
        <v>1</v>
      </c>
      <c r="G32" s="145"/>
      <c r="H32" s="152"/>
      <c r="I32" s="90"/>
      <c r="J32" s="91"/>
      <c r="K32" s="90"/>
      <c r="L32" s="91">
        <v>1</v>
      </c>
      <c r="M32" s="204"/>
      <c r="N32" s="180"/>
      <c r="O32" s="242"/>
      <c r="P32" s="265"/>
    </row>
    <row r="33" spans="1:16" ht="15.6" customHeight="1">
      <c r="A33" s="269"/>
      <c r="B33" s="235" t="s">
        <v>10</v>
      </c>
      <c r="C33" s="85" t="s">
        <v>266</v>
      </c>
      <c r="D33" s="205" t="s">
        <v>286</v>
      </c>
      <c r="E33" s="222">
        <f t="shared" si="0"/>
        <v>3</v>
      </c>
      <c r="F33" s="170">
        <v>3</v>
      </c>
      <c r="G33" s="126">
        <v>3</v>
      </c>
      <c r="H33" s="151" t="s">
        <v>291</v>
      </c>
      <c r="I33" s="87"/>
      <c r="J33" s="86"/>
      <c r="K33" s="87"/>
      <c r="L33" s="88"/>
      <c r="M33" s="206"/>
      <c r="N33" s="85"/>
      <c r="O33" s="243">
        <f>SUM(F33:F36)</f>
        <v>10</v>
      </c>
      <c r="P33" s="238">
        <v>10</v>
      </c>
    </row>
    <row r="34" spans="1:16" ht="15.6" customHeight="1">
      <c r="A34" s="269"/>
      <c r="B34" s="236"/>
      <c r="C34" s="166" t="s">
        <v>266</v>
      </c>
      <c r="D34" s="202" t="s">
        <v>287</v>
      </c>
      <c r="E34" s="215">
        <f t="shared" si="0"/>
        <v>3</v>
      </c>
      <c r="F34" s="172">
        <v>3</v>
      </c>
      <c r="G34" s="128" t="s">
        <v>291</v>
      </c>
      <c r="H34" s="150">
        <v>3</v>
      </c>
      <c r="I34" s="83"/>
      <c r="J34" s="82"/>
      <c r="K34" s="83"/>
      <c r="L34" s="84"/>
      <c r="M34" s="201"/>
      <c r="N34" s="179"/>
      <c r="O34" s="241"/>
      <c r="P34" s="239"/>
    </row>
    <row r="35" spans="1:16" ht="15.6" customHeight="1">
      <c r="A35" s="269"/>
      <c r="B35" s="236"/>
      <c r="C35" s="166" t="s">
        <v>268</v>
      </c>
      <c r="D35" s="202" t="s">
        <v>72</v>
      </c>
      <c r="E35" s="215">
        <f>IFERROR(VLOOKUP(D35, 기본학점, 2, FALSE), "")</f>
        <v>3</v>
      </c>
      <c r="F35" s="172">
        <v>2</v>
      </c>
      <c r="G35" s="128"/>
      <c r="H35" s="150"/>
      <c r="I35" s="83"/>
      <c r="J35" s="82"/>
      <c r="K35" s="83">
        <v>2</v>
      </c>
      <c r="L35" s="84" t="s">
        <v>292</v>
      </c>
      <c r="M35" s="201"/>
      <c r="N35" s="179"/>
      <c r="O35" s="241"/>
      <c r="P35" s="239"/>
    </row>
    <row r="36" spans="1:16" ht="15.6" customHeight="1">
      <c r="A36" s="269"/>
      <c r="B36" s="237"/>
      <c r="C36" s="112" t="s">
        <v>268</v>
      </c>
      <c r="D36" s="208" t="s">
        <v>46</v>
      </c>
      <c r="E36" s="192">
        <f t="shared" si="0"/>
        <v>3</v>
      </c>
      <c r="F36" s="168">
        <v>2</v>
      </c>
      <c r="G36" s="145"/>
      <c r="H36" s="152"/>
      <c r="I36" s="90"/>
      <c r="J36" s="91"/>
      <c r="K36" s="90" t="s">
        <v>292</v>
      </c>
      <c r="L36" s="91">
        <v>2</v>
      </c>
      <c r="M36" s="208"/>
      <c r="N36" s="182"/>
      <c r="O36" s="242"/>
      <c r="P36" s="265"/>
    </row>
    <row r="37" spans="1:16" ht="15.6" customHeight="1">
      <c r="A37" s="269"/>
      <c r="B37" s="235" t="s">
        <v>189</v>
      </c>
      <c r="C37" s="85" t="s">
        <v>266</v>
      </c>
      <c r="D37" s="205" t="s">
        <v>48</v>
      </c>
      <c r="E37" s="222">
        <f t="shared" si="0"/>
        <v>4</v>
      </c>
      <c r="F37" s="170">
        <v>3</v>
      </c>
      <c r="G37" s="143"/>
      <c r="H37" s="151"/>
      <c r="I37" s="87">
        <v>3</v>
      </c>
      <c r="J37" s="86"/>
      <c r="K37" s="87"/>
      <c r="L37" s="88"/>
      <c r="M37" s="206"/>
      <c r="N37" s="85"/>
      <c r="O37" s="241">
        <f>SUM(F37:F38)</f>
        <v>6</v>
      </c>
      <c r="P37" s="238">
        <v>16</v>
      </c>
    </row>
    <row r="38" spans="1:16" ht="15.6" customHeight="1">
      <c r="A38" s="269"/>
      <c r="B38" s="237"/>
      <c r="C38" s="120" t="s">
        <v>268</v>
      </c>
      <c r="D38" s="207" t="s">
        <v>289</v>
      </c>
      <c r="E38" s="192">
        <v>4</v>
      </c>
      <c r="F38" s="168">
        <v>3</v>
      </c>
      <c r="G38" s="145"/>
      <c r="H38" s="152"/>
      <c r="I38" s="90"/>
      <c r="J38" s="89">
        <v>3</v>
      </c>
      <c r="K38" s="90"/>
      <c r="L38" s="89"/>
      <c r="M38" s="207" t="s">
        <v>293</v>
      </c>
      <c r="N38" s="120"/>
      <c r="O38" s="242"/>
      <c r="P38" s="239"/>
    </row>
    <row r="39" spans="1:16" ht="15.6" customHeight="1">
      <c r="A39" s="269"/>
      <c r="B39" s="235" t="s">
        <v>190</v>
      </c>
      <c r="C39" s="85" t="s">
        <v>267</v>
      </c>
      <c r="D39" s="205" t="s">
        <v>288</v>
      </c>
      <c r="E39" s="222">
        <f t="shared" ref="E39:E57" si="1">IFERROR(VLOOKUP(D39, 기본학점, 2, FALSE), "")</f>
        <v>3</v>
      </c>
      <c r="F39" s="170">
        <v>2</v>
      </c>
      <c r="G39" s="126"/>
      <c r="H39" s="151"/>
      <c r="I39" s="87"/>
      <c r="J39" s="86"/>
      <c r="K39" s="87">
        <v>2</v>
      </c>
      <c r="L39" s="88"/>
      <c r="M39" s="206"/>
      <c r="N39" s="85"/>
      <c r="O39" s="251">
        <f>SUM(F39:F40)</f>
        <v>4</v>
      </c>
      <c r="P39" s="239"/>
    </row>
    <row r="40" spans="1:16" ht="15.6" customHeight="1" thickBot="1">
      <c r="A40" s="321"/>
      <c r="B40" s="267"/>
      <c r="C40" s="55" t="s">
        <v>268</v>
      </c>
      <c r="D40" s="209" t="s">
        <v>290</v>
      </c>
      <c r="E40" s="138">
        <v>3</v>
      </c>
      <c r="F40" s="138">
        <v>2</v>
      </c>
      <c r="G40" s="137"/>
      <c r="H40" s="162"/>
      <c r="I40" s="57"/>
      <c r="J40" s="56"/>
      <c r="K40" s="57"/>
      <c r="L40" s="65">
        <v>2</v>
      </c>
      <c r="M40" s="210"/>
      <c r="N40" s="180"/>
      <c r="O40" s="253"/>
      <c r="P40" s="240"/>
    </row>
    <row r="41" spans="1:16" ht="15.6" customHeight="1">
      <c r="A41" s="285" t="s">
        <v>18</v>
      </c>
      <c r="B41" s="233" t="s">
        <v>6</v>
      </c>
      <c r="C41" s="36" t="s">
        <v>267</v>
      </c>
      <c r="D41" s="199" t="s">
        <v>59</v>
      </c>
      <c r="E41" s="223">
        <f t="shared" si="1"/>
        <v>4</v>
      </c>
      <c r="F41" s="173">
        <v>3</v>
      </c>
      <c r="G41" s="224"/>
      <c r="H41" s="157"/>
      <c r="I41" s="319" t="s">
        <v>303</v>
      </c>
      <c r="J41" s="225"/>
      <c r="K41" s="7"/>
      <c r="L41" s="37"/>
      <c r="M41" s="213"/>
      <c r="N41" s="184"/>
      <c r="O41" s="254"/>
      <c r="P41" s="258"/>
    </row>
    <row r="42" spans="1:16" ht="15.6" customHeight="1">
      <c r="A42" s="269"/>
      <c r="B42" s="234" t="s">
        <v>7</v>
      </c>
      <c r="C42" s="17" t="s">
        <v>268</v>
      </c>
      <c r="D42" s="205" t="s">
        <v>294</v>
      </c>
      <c r="E42" s="222">
        <f t="shared" si="1"/>
        <v>4</v>
      </c>
      <c r="F42" s="222">
        <v>3</v>
      </c>
      <c r="G42" s="226"/>
      <c r="H42" s="153"/>
      <c r="I42" s="320"/>
      <c r="J42" s="174"/>
      <c r="K42" s="15"/>
      <c r="L42" s="16"/>
      <c r="M42" s="212"/>
      <c r="N42" s="85"/>
      <c r="O42" s="254"/>
      <c r="P42" s="259"/>
    </row>
    <row r="43" spans="1:16" ht="15.6" customHeight="1">
      <c r="A43" s="269"/>
      <c r="B43" s="234" t="s">
        <v>16</v>
      </c>
      <c r="C43" s="17" t="s">
        <v>267</v>
      </c>
      <c r="D43" s="205" t="s">
        <v>42</v>
      </c>
      <c r="E43" s="222">
        <f t="shared" si="1"/>
        <v>4</v>
      </c>
      <c r="F43" s="126">
        <v>3</v>
      </c>
      <c r="G43" s="130"/>
      <c r="H43" s="153"/>
      <c r="I43" s="320"/>
      <c r="J43" s="174"/>
      <c r="K43" s="15"/>
      <c r="L43" s="16"/>
      <c r="M43" s="212"/>
      <c r="N43" s="85"/>
      <c r="O43" s="254"/>
      <c r="P43" s="259"/>
    </row>
    <row r="44" spans="1:16" ht="15.6" customHeight="1">
      <c r="A44" s="269"/>
      <c r="B44" s="235" t="s">
        <v>186</v>
      </c>
      <c r="C44" s="17" t="s">
        <v>266</v>
      </c>
      <c r="D44" s="205" t="s">
        <v>123</v>
      </c>
      <c r="E44" s="222">
        <f t="shared" si="1"/>
        <v>4</v>
      </c>
      <c r="F44" s="126">
        <v>3</v>
      </c>
      <c r="G44" s="130"/>
      <c r="H44" s="159"/>
      <c r="I44" s="320"/>
      <c r="J44" s="227"/>
      <c r="K44" s="42"/>
      <c r="L44" s="43"/>
      <c r="M44" s="212"/>
      <c r="N44" s="181"/>
      <c r="O44" s="254"/>
      <c r="P44" s="259"/>
    </row>
    <row r="45" spans="1:16" ht="15.6" customHeight="1">
      <c r="A45" s="269"/>
      <c r="B45" s="236"/>
      <c r="C45" s="8" t="s">
        <v>266</v>
      </c>
      <c r="D45" s="202" t="s">
        <v>122</v>
      </c>
      <c r="E45" s="215">
        <f>IFERROR(VLOOKUP(D45, 기본학점, 2, FALSE), "")</f>
        <v>4</v>
      </c>
      <c r="F45" s="128">
        <v>3</v>
      </c>
      <c r="G45" s="59"/>
      <c r="H45" s="160"/>
      <c r="I45" s="320"/>
      <c r="J45" s="228"/>
      <c r="K45" s="46"/>
      <c r="L45" s="47"/>
      <c r="M45" s="211"/>
      <c r="N45" s="179"/>
      <c r="O45" s="254"/>
      <c r="P45" s="259"/>
    </row>
    <row r="46" spans="1:16" ht="15.6" customHeight="1">
      <c r="A46" s="269"/>
      <c r="B46" s="236"/>
      <c r="C46" s="8" t="s">
        <v>268</v>
      </c>
      <c r="D46" s="202" t="s">
        <v>295</v>
      </c>
      <c r="E46" s="215">
        <f>IFERROR(VLOOKUP(D46, 기본학점, 2, FALSE), "")</f>
        <v>4</v>
      </c>
      <c r="F46" s="128">
        <v>3</v>
      </c>
      <c r="G46" s="59"/>
      <c r="H46" s="160"/>
      <c r="I46" s="320"/>
      <c r="J46" s="228"/>
      <c r="K46" s="46"/>
      <c r="L46" s="47"/>
      <c r="M46" s="211"/>
      <c r="N46" s="179"/>
      <c r="O46" s="254"/>
      <c r="P46" s="259"/>
    </row>
    <row r="47" spans="1:16" ht="15.6" customHeight="1">
      <c r="A47" s="269"/>
      <c r="B47" s="236"/>
      <c r="C47" s="8" t="s">
        <v>268</v>
      </c>
      <c r="D47" s="202" t="s">
        <v>296</v>
      </c>
      <c r="E47" s="215">
        <f t="shared" si="1"/>
        <v>4</v>
      </c>
      <c r="F47" s="128">
        <v>3</v>
      </c>
      <c r="G47" s="59"/>
      <c r="H47" s="160"/>
      <c r="I47" s="320"/>
      <c r="J47" s="228"/>
      <c r="K47" s="46"/>
      <c r="L47" s="47"/>
      <c r="M47" s="211"/>
      <c r="N47" s="179"/>
      <c r="O47" s="254"/>
      <c r="P47" s="259"/>
    </row>
    <row r="48" spans="1:16" ht="15.6" customHeight="1">
      <c r="A48" s="269"/>
      <c r="B48" s="237"/>
      <c r="C48" s="18" t="s">
        <v>267</v>
      </c>
      <c r="D48" s="207" t="s">
        <v>166</v>
      </c>
      <c r="E48" s="168">
        <f t="shared" si="1"/>
        <v>4</v>
      </c>
      <c r="F48" s="168">
        <v>3</v>
      </c>
      <c r="G48" s="131"/>
      <c r="H48" s="161"/>
      <c r="I48" s="320"/>
      <c r="J48" s="48"/>
      <c r="K48" s="49"/>
      <c r="L48" s="50"/>
      <c r="M48" s="203"/>
      <c r="N48" s="112"/>
      <c r="O48" s="254"/>
      <c r="P48" s="259"/>
    </row>
    <row r="49" spans="1:16" ht="15.6" customHeight="1">
      <c r="A49" s="269"/>
      <c r="B49" s="235" t="s">
        <v>243</v>
      </c>
      <c r="C49" s="17" t="s">
        <v>266</v>
      </c>
      <c r="D49" s="205" t="s">
        <v>297</v>
      </c>
      <c r="E49" s="222">
        <f t="shared" si="1"/>
        <v>4</v>
      </c>
      <c r="F49" s="126">
        <v>3</v>
      </c>
      <c r="G49" s="130"/>
      <c r="H49" s="159"/>
      <c r="I49" s="320"/>
      <c r="J49" s="70"/>
      <c r="K49" s="13"/>
      <c r="L49" s="40"/>
      <c r="M49" s="212"/>
      <c r="N49" s="181"/>
      <c r="O49" s="254"/>
      <c r="P49" s="259"/>
    </row>
    <row r="50" spans="1:16" ht="15.6" customHeight="1">
      <c r="A50" s="269"/>
      <c r="B50" s="236"/>
      <c r="C50" s="8" t="s">
        <v>266</v>
      </c>
      <c r="D50" s="202" t="s">
        <v>298</v>
      </c>
      <c r="E50" s="215">
        <f t="shared" si="1"/>
        <v>4</v>
      </c>
      <c r="F50" s="128">
        <v>3</v>
      </c>
      <c r="G50" s="59"/>
      <c r="H50" s="160"/>
      <c r="I50" s="320"/>
      <c r="J50" s="69"/>
      <c r="K50" s="9"/>
      <c r="L50" s="44"/>
      <c r="M50" s="211"/>
      <c r="N50" s="179"/>
      <c r="O50" s="254"/>
      <c r="P50" s="259"/>
    </row>
    <row r="51" spans="1:16" ht="15.6" customHeight="1">
      <c r="A51" s="269"/>
      <c r="B51" s="236"/>
      <c r="C51" s="8" t="s">
        <v>266</v>
      </c>
      <c r="D51" s="202" t="s">
        <v>299</v>
      </c>
      <c r="E51" s="215">
        <f>IFERROR(VLOOKUP(D51, 기본학점, 2, FALSE), "")</f>
        <v>4</v>
      </c>
      <c r="F51" s="128">
        <v>3</v>
      </c>
      <c r="G51" s="59"/>
      <c r="H51" s="160"/>
      <c r="I51" s="320"/>
      <c r="J51" s="69"/>
      <c r="K51" s="9"/>
      <c r="L51" s="44"/>
      <c r="M51" s="211"/>
      <c r="N51" s="179"/>
      <c r="O51" s="254"/>
      <c r="P51" s="259"/>
    </row>
    <row r="52" spans="1:16" ht="15.6" customHeight="1">
      <c r="A52" s="269"/>
      <c r="B52" s="237"/>
      <c r="C52" s="24" t="s">
        <v>266</v>
      </c>
      <c r="D52" s="207" t="s">
        <v>300</v>
      </c>
      <c r="E52" s="168">
        <f t="shared" si="1"/>
        <v>4</v>
      </c>
      <c r="F52" s="125">
        <v>3</v>
      </c>
      <c r="G52" s="148"/>
      <c r="H52" s="155"/>
      <c r="I52" s="320"/>
      <c r="J52" s="52"/>
      <c r="K52" s="51"/>
      <c r="L52" s="19"/>
      <c r="M52" s="203"/>
      <c r="N52" s="180"/>
      <c r="O52" s="254"/>
      <c r="P52" s="259"/>
    </row>
    <row r="53" spans="1:16" ht="15.6" customHeight="1">
      <c r="A53" s="269"/>
      <c r="B53" s="235" t="s">
        <v>26</v>
      </c>
      <c r="C53" s="17" t="s">
        <v>268</v>
      </c>
      <c r="D53" s="205" t="s">
        <v>70</v>
      </c>
      <c r="E53" s="222">
        <f t="shared" si="1"/>
        <v>3</v>
      </c>
      <c r="F53" s="167">
        <v>3</v>
      </c>
      <c r="G53" s="149"/>
      <c r="H53" s="159"/>
      <c r="I53" s="320"/>
      <c r="J53" s="174"/>
      <c r="K53" s="15"/>
      <c r="L53" s="14"/>
      <c r="M53" s="212"/>
      <c r="N53" s="181"/>
      <c r="O53" s="254"/>
      <c r="P53" s="259"/>
    </row>
    <row r="54" spans="1:16" ht="15.6" customHeight="1">
      <c r="A54" s="269"/>
      <c r="B54" s="237"/>
      <c r="C54" s="24" t="s">
        <v>268</v>
      </c>
      <c r="D54" s="207" t="s">
        <v>73</v>
      </c>
      <c r="E54" s="168">
        <f t="shared" si="1"/>
        <v>3</v>
      </c>
      <c r="F54" s="168">
        <v>3</v>
      </c>
      <c r="G54" s="146"/>
      <c r="H54" s="156"/>
      <c r="I54" s="320"/>
      <c r="J54" s="54"/>
      <c r="K54" s="26"/>
      <c r="L54" s="27"/>
      <c r="M54" s="203"/>
      <c r="N54" s="112"/>
      <c r="O54" s="254"/>
      <c r="P54" s="259"/>
    </row>
    <row r="55" spans="1:16" ht="15.6" customHeight="1">
      <c r="A55" s="269"/>
      <c r="B55" s="235" t="s">
        <v>103</v>
      </c>
      <c r="C55" s="17" t="s">
        <v>266</v>
      </c>
      <c r="D55" s="205" t="s">
        <v>301</v>
      </c>
      <c r="E55" s="222">
        <f t="shared" si="1"/>
        <v>4</v>
      </c>
      <c r="F55" s="167">
        <v>3</v>
      </c>
      <c r="G55" s="130"/>
      <c r="H55" s="153"/>
      <c r="I55" s="320"/>
      <c r="J55" s="174"/>
      <c r="K55" s="15"/>
      <c r="L55" s="14"/>
      <c r="M55" s="212"/>
      <c r="N55" s="85"/>
      <c r="O55" s="254"/>
      <c r="P55" s="259"/>
    </row>
    <row r="56" spans="1:16" ht="15.6" customHeight="1" thickBot="1">
      <c r="A56" s="269"/>
      <c r="B56" s="237"/>
      <c r="C56" s="24" t="s">
        <v>266</v>
      </c>
      <c r="D56" s="207" t="s">
        <v>302</v>
      </c>
      <c r="E56" s="168">
        <f t="shared" si="1"/>
        <v>4</v>
      </c>
      <c r="F56" s="168">
        <v>3</v>
      </c>
      <c r="G56" s="58"/>
      <c r="H56" s="158"/>
      <c r="I56" s="320"/>
      <c r="J56" s="39"/>
      <c r="K56" s="22"/>
      <c r="L56" s="23"/>
      <c r="M56" s="203"/>
      <c r="N56" s="180"/>
      <c r="O56" s="254"/>
      <c r="P56" s="259"/>
    </row>
    <row r="57" spans="1:16" ht="15.6" customHeight="1">
      <c r="A57" s="270"/>
      <c r="B57" s="233" t="s">
        <v>6</v>
      </c>
      <c r="C57" s="36" t="s">
        <v>268</v>
      </c>
      <c r="D57" s="199" t="s">
        <v>304</v>
      </c>
      <c r="E57" s="223">
        <f t="shared" si="1"/>
        <v>4</v>
      </c>
      <c r="F57" s="173">
        <v>3</v>
      </c>
      <c r="G57" s="224"/>
      <c r="H57" s="157"/>
      <c r="I57" s="7"/>
      <c r="J57" s="286" t="s">
        <v>303</v>
      </c>
      <c r="K57" s="7"/>
      <c r="L57" s="37"/>
      <c r="M57" s="213"/>
      <c r="N57" s="229"/>
      <c r="O57" s="255"/>
      <c r="P57" s="260"/>
    </row>
    <row r="58" spans="1:16" ht="15.6" customHeight="1">
      <c r="A58" s="270"/>
      <c r="B58" s="234" t="s">
        <v>7</v>
      </c>
      <c r="C58" s="17" t="s">
        <v>268</v>
      </c>
      <c r="D58" s="205" t="s">
        <v>305</v>
      </c>
      <c r="E58" s="222">
        <f t="shared" ref="E58:E80" si="2">IFERROR(VLOOKUP(D58, 기본학점, 2, FALSE), "")</f>
        <v>4</v>
      </c>
      <c r="F58" s="170">
        <v>3</v>
      </c>
      <c r="G58" s="130"/>
      <c r="H58" s="153"/>
      <c r="I58" s="15"/>
      <c r="J58" s="287"/>
      <c r="K58" s="15"/>
      <c r="L58" s="16"/>
      <c r="M58" s="212"/>
      <c r="N58" s="85"/>
      <c r="O58" s="255"/>
      <c r="P58" s="260"/>
    </row>
    <row r="59" spans="1:16" ht="15.6" customHeight="1">
      <c r="A59" s="270"/>
      <c r="B59" s="234" t="s">
        <v>16</v>
      </c>
      <c r="C59" s="17" t="s">
        <v>268</v>
      </c>
      <c r="D59" s="205" t="s">
        <v>306</v>
      </c>
      <c r="E59" s="222">
        <f t="shared" si="2"/>
        <v>4</v>
      </c>
      <c r="F59" s="170">
        <v>3</v>
      </c>
      <c r="G59" s="130"/>
      <c r="H59" s="153"/>
      <c r="I59" s="15"/>
      <c r="J59" s="287"/>
      <c r="K59" s="15"/>
      <c r="L59" s="16"/>
      <c r="M59" s="212"/>
      <c r="N59" s="181"/>
      <c r="O59" s="255"/>
      <c r="P59" s="260"/>
    </row>
    <row r="60" spans="1:16" ht="15.6" customHeight="1">
      <c r="A60" s="270"/>
      <c r="B60" s="235" t="s">
        <v>186</v>
      </c>
      <c r="C60" s="17" t="s">
        <v>266</v>
      </c>
      <c r="D60" s="205" t="s">
        <v>124</v>
      </c>
      <c r="E60" s="222">
        <f t="shared" si="2"/>
        <v>4</v>
      </c>
      <c r="F60" s="170">
        <v>3</v>
      </c>
      <c r="G60" s="130"/>
      <c r="H60" s="159"/>
      <c r="I60" s="42"/>
      <c r="J60" s="287"/>
      <c r="K60" s="42"/>
      <c r="L60" s="43"/>
      <c r="M60" s="212"/>
      <c r="N60" s="85"/>
      <c r="O60" s="255"/>
      <c r="P60" s="260"/>
    </row>
    <row r="61" spans="1:16" ht="15.6" customHeight="1">
      <c r="A61" s="270"/>
      <c r="B61" s="236"/>
      <c r="C61" s="330" t="s">
        <v>268</v>
      </c>
      <c r="D61" s="331" t="s">
        <v>143</v>
      </c>
      <c r="E61" s="192">
        <f>IFERROR(VLOOKUP(D61, 기본학점, 2, FALSE), "")</f>
        <v>4</v>
      </c>
      <c r="F61" s="124">
        <v>3</v>
      </c>
      <c r="G61" s="58"/>
      <c r="H61" s="335"/>
      <c r="I61" s="336"/>
      <c r="J61" s="287"/>
      <c r="K61" s="336"/>
      <c r="L61" s="337"/>
      <c r="M61" s="338"/>
      <c r="N61" s="339"/>
      <c r="O61" s="255"/>
      <c r="P61" s="260"/>
    </row>
    <row r="62" spans="1:16" ht="15.6" customHeight="1">
      <c r="A62" s="270"/>
      <c r="B62" s="236"/>
      <c r="C62" s="330" t="s">
        <v>268</v>
      </c>
      <c r="D62" s="331" t="s">
        <v>146</v>
      </c>
      <c r="E62" s="192">
        <f>IFERROR(VLOOKUP(D62, 기본학점, 2, FALSE), "")</f>
        <v>4</v>
      </c>
      <c r="F62" s="124">
        <v>3</v>
      </c>
      <c r="G62" s="58"/>
      <c r="H62" s="335"/>
      <c r="I62" s="336"/>
      <c r="J62" s="287"/>
      <c r="K62" s="336"/>
      <c r="L62" s="337"/>
      <c r="M62" s="338"/>
      <c r="N62" s="339"/>
      <c r="O62" s="255"/>
      <c r="P62" s="260"/>
    </row>
    <row r="63" spans="1:16" ht="15.6" customHeight="1">
      <c r="A63" s="270"/>
      <c r="B63" s="236"/>
      <c r="C63" s="330" t="s">
        <v>268</v>
      </c>
      <c r="D63" s="331" t="s">
        <v>307</v>
      </c>
      <c r="E63" s="192">
        <f>IFERROR(VLOOKUP(D63, 기본학점, 2, FALSE), "")</f>
        <v>4</v>
      </c>
      <c r="F63" s="124">
        <v>3</v>
      </c>
      <c r="G63" s="58"/>
      <c r="H63" s="335"/>
      <c r="I63" s="336"/>
      <c r="J63" s="287"/>
      <c r="K63" s="336"/>
      <c r="L63" s="337"/>
      <c r="M63" s="338"/>
      <c r="N63" s="339"/>
      <c r="O63" s="255"/>
      <c r="P63" s="260"/>
    </row>
    <row r="64" spans="1:16" ht="15.6" customHeight="1">
      <c r="A64" s="270"/>
      <c r="B64" s="236"/>
      <c r="C64" s="8" t="s">
        <v>268</v>
      </c>
      <c r="D64" s="202" t="s">
        <v>308</v>
      </c>
      <c r="E64" s="215">
        <f>IFERROR(VLOOKUP(D64, 기본학점, 2, FALSE), "")</f>
        <v>4</v>
      </c>
      <c r="F64" s="172">
        <v>3</v>
      </c>
      <c r="G64" s="59"/>
      <c r="H64" s="160"/>
      <c r="I64" s="46"/>
      <c r="J64" s="287"/>
      <c r="K64" s="46"/>
      <c r="L64" s="47"/>
      <c r="M64" s="211"/>
      <c r="N64" s="179"/>
      <c r="O64" s="255"/>
      <c r="P64" s="260"/>
    </row>
    <row r="65" spans="1:16" ht="15.6" customHeight="1">
      <c r="A65" s="270"/>
      <c r="B65" s="236"/>
      <c r="C65" s="8" t="s">
        <v>267</v>
      </c>
      <c r="D65" s="202" t="s">
        <v>166</v>
      </c>
      <c r="E65" s="215">
        <f>IFERROR(VLOOKUP(D65, 기본학점, 2, FALSE), "")</f>
        <v>4</v>
      </c>
      <c r="F65" s="172">
        <v>3</v>
      </c>
      <c r="G65" s="59"/>
      <c r="H65" s="160"/>
      <c r="I65" s="46"/>
      <c r="J65" s="287"/>
      <c r="K65" s="46"/>
      <c r="L65" s="47"/>
      <c r="M65" s="211"/>
      <c r="N65" s="179"/>
      <c r="O65" s="255"/>
      <c r="P65" s="260"/>
    </row>
    <row r="66" spans="1:16" ht="15.6" customHeight="1">
      <c r="A66" s="270"/>
      <c r="B66" s="237"/>
      <c r="C66" s="18" t="s">
        <v>267</v>
      </c>
      <c r="D66" s="207" t="s">
        <v>163</v>
      </c>
      <c r="E66" s="168">
        <f t="shared" si="2"/>
        <v>4</v>
      </c>
      <c r="F66" s="168">
        <v>3</v>
      </c>
      <c r="G66" s="146"/>
      <c r="H66" s="163"/>
      <c r="I66" s="60"/>
      <c r="J66" s="287"/>
      <c r="K66" s="61"/>
      <c r="L66" s="62"/>
      <c r="M66" s="204"/>
      <c r="N66" s="112"/>
      <c r="O66" s="255"/>
      <c r="P66" s="260"/>
    </row>
    <row r="67" spans="1:16" ht="15.6" customHeight="1">
      <c r="A67" s="270"/>
      <c r="B67" s="235" t="s">
        <v>8</v>
      </c>
      <c r="C67" s="17" t="s">
        <v>268</v>
      </c>
      <c r="D67" s="205" t="s">
        <v>67</v>
      </c>
      <c r="E67" s="222">
        <f t="shared" si="2"/>
        <v>4</v>
      </c>
      <c r="F67" s="170">
        <v>3</v>
      </c>
      <c r="G67" s="130"/>
      <c r="H67" s="159"/>
      <c r="I67" s="15"/>
      <c r="J67" s="287"/>
      <c r="K67" s="13"/>
      <c r="L67" s="40"/>
      <c r="M67" s="212"/>
      <c r="N67" s="181"/>
      <c r="O67" s="255"/>
      <c r="P67" s="260"/>
    </row>
    <row r="68" spans="1:16" ht="15.6" customHeight="1">
      <c r="A68" s="270"/>
      <c r="B68" s="236"/>
      <c r="C68" s="8" t="s">
        <v>268</v>
      </c>
      <c r="D68" s="202" t="s">
        <v>148</v>
      </c>
      <c r="E68" s="215">
        <f t="shared" si="2"/>
        <v>4</v>
      </c>
      <c r="F68" s="172">
        <v>3</v>
      </c>
      <c r="G68" s="59"/>
      <c r="H68" s="160"/>
      <c r="I68" s="11"/>
      <c r="J68" s="287"/>
      <c r="K68" s="9"/>
      <c r="L68" s="44"/>
      <c r="M68" s="211"/>
      <c r="N68" s="179"/>
      <c r="O68" s="255"/>
      <c r="P68" s="260"/>
    </row>
    <row r="69" spans="1:16" ht="15.6" customHeight="1">
      <c r="A69" s="270"/>
      <c r="B69" s="236"/>
      <c r="C69" s="8" t="s">
        <v>268</v>
      </c>
      <c r="D69" s="202" t="s">
        <v>149</v>
      </c>
      <c r="E69" s="215">
        <f>IFERROR(VLOOKUP(D69, 기본학점, 2, FALSE), "")</f>
        <v>4</v>
      </c>
      <c r="F69" s="172">
        <v>3</v>
      </c>
      <c r="G69" s="59"/>
      <c r="H69" s="160"/>
      <c r="I69" s="11"/>
      <c r="J69" s="287"/>
      <c r="K69" s="9"/>
      <c r="L69" s="44"/>
      <c r="M69" s="211"/>
      <c r="N69" s="179"/>
      <c r="O69" s="255"/>
      <c r="P69" s="260"/>
    </row>
    <row r="70" spans="1:16" ht="15.6" customHeight="1">
      <c r="A70" s="270"/>
      <c r="B70" s="237"/>
      <c r="C70" s="24" t="s">
        <v>268</v>
      </c>
      <c r="D70" s="207" t="s">
        <v>151</v>
      </c>
      <c r="E70" s="168">
        <f t="shared" si="2"/>
        <v>4</v>
      </c>
      <c r="F70" s="168">
        <v>3</v>
      </c>
      <c r="G70" s="148"/>
      <c r="H70" s="155"/>
      <c r="I70" s="51"/>
      <c r="J70" s="287"/>
      <c r="K70" s="51"/>
      <c r="L70" s="19"/>
      <c r="M70" s="203"/>
      <c r="N70" s="112"/>
      <c r="O70" s="255"/>
      <c r="P70" s="260"/>
    </row>
    <row r="71" spans="1:16" ht="15.6" customHeight="1">
      <c r="A71" s="270"/>
      <c r="B71" s="235" t="s">
        <v>10</v>
      </c>
      <c r="C71" s="17" t="s">
        <v>267</v>
      </c>
      <c r="D71" s="205" t="s">
        <v>71</v>
      </c>
      <c r="E71" s="222">
        <f t="shared" si="2"/>
        <v>3</v>
      </c>
      <c r="F71" s="167">
        <v>3</v>
      </c>
      <c r="G71" s="130"/>
      <c r="H71" s="159"/>
      <c r="I71" s="15"/>
      <c r="J71" s="287"/>
      <c r="K71" s="15"/>
      <c r="L71" s="14"/>
      <c r="M71" s="212"/>
      <c r="N71" s="85"/>
      <c r="O71" s="255"/>
      <c r="P71" s="260"/>
    </row>
    <row r="72" spans="1:16" ht="15.6" customHeight="1">
      <c r="A72" s="270"/>
      <c r="B72" s="237"/>
      <c r="C72" s="24" t="s">
        <v>267</v>
      </c>
      <c r="D72" s="207" t="s">
        <v>47</v>
      </c>
      <c r="E72" s="168">
        <f t="shared" si="2"/>
        <v>3</v>
      </c>
      <c r="F72" s="168">
        <v>3</v>
      </c>
      <c r="G72" s="146"/>
      <c r="H72" s="156"/>
      <c r="I72" s="25"/>
      <c r="J72" s="287"/>
      <c r="K72" s="26"/>
      <c r="L72" s="27"/>
      <c r="M72" s="203"/>
      <c r="N72" s="180"/>
      <c r="O72" s="255"/>
      <c r="P72" s="260"/>
    </row>
    <row r="73" spans="1:16" ht="15.6" customHeight="1">
      <c r="A73" s="270"/>
      <c r="B73" s="235" t="s">
        <v>103</v>
      </c>
      <c r="C73" s="17" t="s">
        <v>268</v>
      </c>
      <c r="D73" s="205" t="s">
        <v>84</v>
      </c>
      <c r="E73" s="222">
        <f t="shared" si="2"/>
        <v>4</v>
      </c>
      <c r="F73" s="167">
        <v>3</v>
      </c>
      <c r="G73" s="130"/>
      <c r="H73" s="153"/>
      <c r="I73" s="15"/>
      <c r="J73" s="287"/>
      <c r="K73" s="15"/>
      <c r="L73" s="14"/>
      <c r="M73" s="212"/>
      <c r="N73" s="85"/>
      <c r="O73" s="255"/>
      <c r="P73" s="260"/>
    </row>
    <row r="74" spans="1:16" ht="15.6" customHeight="1" thickBot="1">
      <c r="A74" s="270"/>
      <c r="B74" s="237"/>
      <c r="C74" s="18" t="s">
        <v>268</v>
      </c>
      <c r="D74" s="207" t="s">
        <v>309</v>
      </c>
      <c r="E74" s="168">
        <f t="shared" si="2"/>
        <v>4</v>
      </c>
      <c r="F74" s="168">
        <v>3</v>
      </c>
      <c r="G74" s="58"/>
      <c r="H74" s="158"/>
      <c r="I74" s="6"/>
      <c r="J74" s="287"/>
      <c r="K74" s="22"/>
      <c r="L74" s="23"/>
      <c r="M74" s="203"/>
      <c r="N74" s="180"/>
      <c r="O74" s="255"/>
      <c r="P74" s="260"/>
    </row>
    <row r="75" spans="1:16" ht="15.6" customHeight="1">
      <c r="A75" s="268" t="s">
        <v>20</v>
      </c>
      <c r="B75" s="244" t="s">
        <v>6</v>
      </c>
      <c r="C75" s="36" t="s">
        <v>266</v>
      </c>
      <c r="D75" s="199" t="s">
        <v>310</v>
      </c>
      <c r="E75" s="326">
        <f t="shared" si="2"/>
        <v>4</v>
      </c>
      <c r="F75" s="340">
        <v>3</v>
      </c>
      <c r="G75" s="132"/>
      <c r="H75" s="157"/>
      <c r="I75" s="7"/>
      <c r="J75" s="37"/>
      <c r="K75" s="272" t="s">
        <v>325</v>
      </c>
      <c r="L75" s="230"/>
      <c r="M75" s="213"/>
      <c r="N75" s="184"/>
      <c r="O75" s="257"/>
      <c r="P75" s="258"/>
    </row>
    <row r="76" spans="1:16" ht="15.6" customHeight="1">
      <c r="A76" s="269"/>
      <c r="B76" s="237"/>
      <c r="C76" s="8" t="s">
        <v>268</v>
      </c>
      <c r="D76" s="202" t="s">
        <v>311</v>
      </c>
      <c r="E76" s="84">
        <f>IFERROR(VLOOKUP(D76, 기본학점, 2, FALSE), "")</f>
        <v>4</v>
      </c>
      <c r="F76" s="333">
        <v>3</v>
      </c>
      <c r="G76" s="131"/>
      <c r="H76" s="155"/>
      <c r="I76" s="20"/>
      <c r="J76" s="21"/>
      <c r="K76" s="273"/>
      <c r="L76" s="23"/>
      <c r="M76" s="203"/>
      <c r="N76" s="112"/>
      <c r="O76" s="252"/>
      <c r="P76" s="259"/>
    </row>
    <row r="77" spans="1:16" ht="15.6" customHeight="1">
      <c r="A77" s="269"/>
      <c r="B77" s="235" t="s">
        <v>7</v>
      </c>
      <c r="C77" s="17" t="s">
        <v>266</v>
      </c>
      <c r="D77" s="205" t="s">
        <v>35</v>
      </c>
      <c r="E77" s="88">
        <f t="shared" si="2"/>
        <v>4</v>
      </c>
      <c r="F77" s="328">
        <v>3</v>
      </c>
      <c r="G77" s="130"/>
      <c r="H77" s="153"/>
      <c r="I77" s="15"/>
      <c r="J77" s="16"/>
      <c r="K77" s="273"/>
      <c r="L77" s="14"/>
      <c r="M77" s="212"/>
      <c r="N77" s="181"/>
      <c r="O77" s="252"/>
      <c r="P77" s="259"/>
    </row>
    <row r="78" spans="1:16" ht="15.6" customHeight="1">
      <c r="A78" s="269"/>
      <c r="B78" s="236"/>
      <c r="C78" s="8" t="s">
        <v>268</v>
      </c>
      <c r="D78" s="202" t="s">
        <v>312</v>
      </c>
      <c r="E78" s="91">
        <f>IFERROR(VLOOKUP(D78, 기본학점, 2, FALSE), "")</f>
        <v>4</v>
      </c>
      <c r="F78" s="332">
        <v>3</v>
      </c>
      <c r="G78" s="59"/>
      <c r="H78" s="154"/>
      <c r="I78" s="11"/>
      <c r="J78" s="12"/>
      <c r="K78" s="273"/>
      <c r="L78" s="10"/>
      <c r="M78" s="211"/>
      <c r="N78" s="179"/>
      <c r="O78" s="252"/>
      <c r="P78" s="259"/>
    </row>
    <row r="79" spans="1:16" ht="15.6" customHeight="1">
      <c r="A79" s="269"/>
      <c r="B79" s="237"/>
      <c r="C79" s="8" t="s">
        <v>268</v>
      </c>
      <c r="D79" s="202" t="s">
        <v>313</v>
      </c>
      <c r="E79" s="84">
        <f>IFERROR(VLOOKUP(D79, 기본학점, 2, FALSE), "")</f>
        <v>4</v>
      </c>
      <c r="F79" s="333">
        <v>3</v>
      </c>
      <c r="G79" s="131"/>
      <c r="H79" s="155"/>
      <c r="I79" s="20"/>
      <c r="J79" s="21"/>
      <c r="K79" s="273"/>
      <c r="L79" s="21"/>
      <c r="M79" s="203"/>
      <c r="N79" s="112"/>
      <c r="O79" s="252"/>
      <c r="P79" s="259"/>
    </row>
    <row r="80" spans="1:16" ht="15.6" customHeight="1">
      <c r="A80" s="269"/>
      <c r="B80" s="235" t="s">
        <v>16</v>
      </c>
      <c r="C80" s="17" t="s">
        <v>266</v>
      </c>
      <c r="D80" s="205" t="s">
        <v>41</v>
      </c>
      <c r="E80" s="88">
        <f t="shared" si="2"/>
        <v>4</v>
      </c>
      <c r="F80" s="328">
        <v>3</v>
      </c>
      <c r="G80" s="130"/>
      <c r="H80" s="153"/>
      <c r="I80" s="15"/>
      <c r="J80" s="16"/>
      <c r="K80" s="273"/>
      <c r="L80" s="14"/>
      <c r="M80" s="212"/>
      <c r="N80" s="181"/>
      <c r="O80" s="252"/>
      <c r="P80" s="259"/>
    </row>
    <row r="81" spans="1:16" ht="15" customHeight="1">
      <c r="A81" s="269"/>
      <c r="B81" s="236"/>
      <c r="C81" s="8" t="s">
        <v>267</v>
      </c>
      <c r="D81" s="202" t="s">
        <v>64</v>
      </c>
      <c r="E81" s="84">
        <f>IFERROR(VLOOKUP(D81, 기본학점, 2, FALSE), "")</f>
        <v>4</v>
      </c>
      <c r="F81" s="333">
        <v>3</v>
      </c>
      <c r="G81" s="59"/>
      <c r="H81" s="154"/>
      <c r="I81" s="11"/>
      <c r="J81" s="12"/>
      <c r="K81" s="273"/>
      <c r="L81" s="10"/>
      <c r="M81" s="211"/>
      <c r="N81" s="179"/>
      <c r="O81" s="252"/>
      <c r="P81" s="259"/>
    </row>
    <row r="82" spans="1:16" ht="15.6" customHeight="1">
      <c r="A82" s="269"/>
      <c r="B82" s="235" t="s">
        <v>186</v>
      </c>
      <c r="C82" s="17" t="s">
        <v>266</v>
      </c>
      <c r="D82" s="205" t="s">
        <v>65</v>
      </c>
      <c r="E82" s="88">
        <f t="shared" ref="E82:E104" si="3">IFERROR(VLOOKUP(D82, 기본학점, 2, FALSE), "")</f>
        <v>4</v>
      </c>
      <c r="F82" s="329">
        <v>3</v>
      </c>
      <c r="G82" s="130"/>
      <c r="H82" s="159"/>
      <c r="I82" s="42"/>
      <c r="J82" s="43"/>
      <c r="K82" s="273"/>
      <c r="L82" s="153"/>
      <c r="M82" s="212"/>
      <c r="N82" s="181"/>
      <c r="O82" s="252"/>
      <c r="P82" s="259"/>
    </row>
    <row r="83" spans="1:16" ht="15.6" customHeight="1">
      <c r="A83" s="269"/>
      <c r="B83" s="236"/>
      <c r="C83" s="8" t="s">
        <v>267</v>
      </c>
      <c r="D83" s="202" t="s">
        <v>162</v>
      </c>
      <c r="E83" s="84">
        <f>IFERROR(VLOOKUP(D83, 기본학점, 2, FALSE), "")</f>
        <v>4</v>
      </c>
      <c r="F83" s="333">
        <v>3</v>
      </c>
      <c r="G83" s="59"/>
      <c r="H83" s="160"/>
      <c r="I83" s="46"/>
      <c r="J83" s="47"/>
      <c r="K83" s="273"/>
      <c r="L83" s="154"/>
      <c r="M83" s="211"/>
      <c r="N83" s="179"/>
      <c r="O83" s="252"/>
      <c r="P83" s="259"/>
    </row>
    <row r="84" spans="1:16" ht="15.6" customHeight="1">
      <c r="A84" s="269"/>
      <c r="B84" s="236"/>
      <c r="C84" s="8" t="s">
        <v>267</v>
      </c>
      <c r="D84" s="202" t="s">
        <v>165</v>
      </c>
      <c r="E84" s="84">
        <f>IFERROR(VLOOKUP(D84, 기본학점, 2, FALSE), "")</f>
        <v>4</v>
      </c>
      <c r="F84" s="333">
        <v>3</v>
      </c>
      <c r="G84" s="59"/>
      <c r="H84" s="160"/>
      <c r="I84" s="46"/>
      <c r="J84" s="47"/>
      <c r="K84" s="273"/>
      <c r="L84" s="154"/>
      <c r="M84" s="211"/>
      <c r="N84" s="179"/>
      <c r="O84" s="252"/>
      <c r="P84" s="259"/>
    </row>
    <row r="85" spans="1:16" ht="15.6" customHeight="1">
      <c r="A85" s="269"/>
      <c r="B85" s="236"/>
      <c r="C85" s="8" t="s">
        <v>267</v>
      </c>
      <c r="D85" s="202" t="s">
        <v>163</v>
      </c>
      <c r="E85" s="84">
        <f t="shared" ref="E85:E87" si="4">IFERROR(VLOOKUP(D85, 기본학점, 2, FALSE), "")</f>
        <v>4</v>
      </c>
      <c r="F85" s="333">
        <v>3</v>
      </c>
      <c r="G85" s="59"/>
      <c r="H85" s="160"/>
      <c r="I85" s="46"/>
      <c r="J85" s="47"/>
      <c r="K85" s="273"/>
      <c r="L85" s="154"/>
      <c r="M85" s="211"/>
      <c r="N85" s="179"/>
      <c r="O85" s="252"/>
      <c r="P85" s="259"/>
    </row>
    <row r="86" spans="1:16" ht="15.6" customHeight="1">
      <c r="A86" s="269"/>
      <c r="B86" s="237"/>
      <c r="C86" s="18" t="s">
        <v>267</v>
      </c>
      <c r="D86" s="207" t="s">
        <v>164</v>
      </c>
      <c r="E86" s="327">
        <f t="shared" si="4"/>
        <v>4</v>
      </c>
      <c r="F86" s="327">
        <v>3</v>
      </c>
      <c r="G86" s="131"/>
      <c r="H86" s="161"/>
      <c r="I86" s="63"/>
      <c r="J86" s="64"/>
      <c r="K86" s="273"/>
      <c r="L86" s="64"/>
      <c r="M86" s="203"/>
      <c r="N86" s="112"/>
      <c r="O86" s="252"/>
      <c r="P86" s="259"/>
    </row>
    <row r="87" spans="1:16" ht="15.6" customHeight="1">
      <c r="A87" s="269"/>
      <c r="B87" s="235" t="s">
        <v>8</v>
      </c>
      <c r="C87" s="17" t="s">
        <v>268</v>
      </c>
      <c r="D87" s="205" t="s">
        <v>68</v>
      </c>
      <c r="E87" s="88">
        <f t="shared" si="4"/>
        <v>4</v>
      </c>
      <c r="F87" s="329">
        <v>3</v>
      </c>
      <c r="G87" s="130"/>
      <c r="H87" s="159"/>
      <c r="I87" s="32"/>
      <c r="J87" s="33"/>
      <c r="K87" s="273"/>
      <c r="L87" s="40"/>
      <c r="M87" s="212"/>
      <c r="N87" s="181"/>
      <c r="O87" s="252"/>
      <c r="P87" s="259"/>
    </row>
    <row r="88" spans="1:16" ht="15.6" customHeight="1">
      <c r="A88" s="269"/>
      <c r="B88" s="236"/>
      <c r="C88" s="330" t="s">
        <v>268</v>
      </c>
      <c r="D88" s="331" t="s">
        <v>69</v>
      </c>
      <c r="E88" s="91">
        <f>IFERROR(VLOOKUP(D88, 기본학점, 2, FALSE), "")</f>
        <v>4</v>
      </c>
      <c r="F88" s="332">
        <v>3</v>
      </c>
      <c r="G88" s="58"/>
      <c r="H88" s="335"/>
      <c r="I88" s="342"/>
      <c r="J88" s="343"/>
      <c r="K88" s="273"/>
      <c r="L88" s="344"/>
      <c r="M88" s="338"/>
      <c r="N88" s="339"/>
      <c r="O88" s="252"/>
      <c r="P88" s="259"/>
    </row>
    <row r="89" spans="1:16" ht="15.6" customHeight="1">
      <c r="A89" s="269"/>
      <c r="B89" s="236"/>
      <c r="C89" s="330" t="s">
        <v>268</v>
      </c>
      <c r="D89" s="331" t="s">
        <v>150</v>
      </c>
      <c r="E89" s="91">
        <f>IFERROR(VLOOKUP(D89, 기본학점, 2, FALSE), "")</f>
        <v>4</v>
      </c>
      <c r="F89" s="332">
        <v>3</v>
      </c>
      <c r="G89" s="58"/>
      <c r="H89" s="335"/>
      <c r="I89" s="342"/>
      <c r="J89" s="343"/>
      <c r="K89" s="273"/>
      <c r="L89" s="344"/>
      <c r="M89" s="338"/>
      <c r="N89" s="339"/>
      <c r="O89" s="252"/>
      <c r="P89" s="259"/>
    </row>
    <row r="90" spans="1:16" ht="15.6" customHeight="1">
      <c r="A90" s="269"/>
      <c r="B90" s="236"/>
      <c r="C90" s="330" t="s">
        <v>268</v>
      </c>
      <c r="D90" s="202" t="s">
        <v>152</v>
      </c>
      <c r="E90" s="84">
        <f t="shared" ref="E90:E93" si="5">IFERROR(VLOOKUP(D90, 기본학점, 2, FALSE), "")</f>
        <v>4</v>
      </c>
      <c r="F90" s="333">
        <v>3</v>
      </c>
      <c r="G90" s="59"/>
      <c r="H90" s="160"/>
      <c r="I90" s="34"/>
      <c r="J90" s="35"/>
      <c r="K90" s="273"/>
      <c r="L90" s="44"/>
      <c r="M90" s="211"/>
      <c r="N90" s="179"/>
      <c r="O90" s="252"/>
      <c r="P90" s="259"/>
    </row>
    <row r="91" spans="1:16" ht="15.6" customHeight="1">
      <c r="A91" s="269"/>
      <c r="B91" s="236"/>
      <c r="C91" s="8" t="s">
        <v>267</v>
      </c>
      <c r="D91" s="202" t="s">
        <v>167</v>
      </c>
      <c r="E91" s="84">
        <f t="shared" si="5"/>
        <v>4</v>
      </c>
      <c r="F91" s="333">
        <v>3</v>
      </c>
      <c r="G91" s="147"/>
      <c r="H91" s="154"/>
      <c r="I91" s="11"/>
      <c r="J91" s="12"/>
      <c r="K91" s="273"/>
      <c r="L91" s="10"/>
      <c r="M91" s="211"/>
      <c r="N91" s="179"/>
      <c r="O91" s="252"/>
      <c r="P91" s="259"/>
    </row>
    <row r="92" spans="1:16" ht="15.6" customHeight="1">
      <c r="A92" s="269"/>
      <c r="B92" s="237"/>
      <c r="C92" s="24" t="s">
        <v>267</v>
      </c>
      <c r="D92" s="207" t="s">
        <v>169</v>
      </c>
      <c r="E92" s="327">
        <f t="shared" si="5"/>
        <v>4</v>
      </c>
      <c r="F92" s="2">
        <v>3</v>
      </c>
      <c r="G92" s="148"/>
      <c r="H92" s="155"/>
      <c r="I92" s="20"/>
      <c r="J92" s="21"/>
      <c r="K92" s="273"/>
      <c r="L92" s="21"/>
      <c r="M92" s="203"/>
      <c r="N92" s="180"/>
      <c r="O92" s="252"/>
      <c r="P92" s="259"/>
    </row>
    <row r="93" spans="1:16" ht="15.6" customHeight="1">
      <c r="A93" s="269"/>
      <c r="B93" s="234" t="s">
        <v>9</v>
      </c>
      <c r="C93" s="17" t="s">
        <v>268</v>
      </c>
      <c r="D93" s="205" t="s">
        <v>153</v>
      </c>
      <c r="E93" s="88">
        <f t="shared" si="5"/>
        <v>3</v>
      </c>
      <c r="F93" s="328">
        <v>3</v>
      </c>
      <c r="G93" s="149"/>
      <c r="H93" s="153"/>
      <c r="I93" s="15"/>
      <c r="J93" s="16"/>
      <c r="K93" s="273"/>
      <c r="L93" s="14"/>
      <c r="M93" s="212"/>
      <c r="N93" s="85"/>
      <c r="O93" s="252"/>
      <c r="P93" s="259"/>
    </row>
    <row r="94" spans="1:16" ht="15.6" customHeight="1">
      <c r="A94" s="269"/>
      <c r="B94" s="234" t="s">
        <v>104</v>
      </c>
      <c r="C94" s="17" t="s">
        <v>268</v>
      </c>
      <c r="D94" s="205" t="s">
        <v>156</v>
      </c>
      <c r="E94" s="88">
        <f t="shared" si="3"/>
        <v>4</v>
      </c>
      <c r="F94" s="329">
        <v>3</v>
      </c>
      <c r="G94" s="149"/>
      <c r="H94" s="153"/>
      <c r="I94" s="15"/>
      <c r="J94" s="16"/>
      <c r="K94" s="273"/>
      <c r="L94" s="14"/>
      <c r="M94" s="212"/>
      <c r="N94" s="85"/>
      <c r="O94" s="252"/>
      <c r="P94" s="259"/>
    </row>
    <row r="95" spans="1:16" ht="15.6" customHeight="1">
      <c r="A95" s="269"/>
      <c r="B95" s="235" t="s">
        <v>103</v>
      </c>
      <c r="C95" s="17" t="s">
        <v>267</v>
      </c>
      <c r="D95" s="205" t="s">
        <v>86</v>
      </c>
      <c r="E95" s="88">
        <f t="shared" si="3"/>
        <v>4</v>
      </c>
      <c r="F95" s="328">
        <v>3</v>
      </c>
      <c r="G95" s="130"/>
      <c r="H95" s="153"/>
      <c r="I95" s="15"/>
      <c r="J95" s="16"/>
      <c r="K95" s="273"/>
      <c r="L95" s="14"/>
      <c r="M95" s="212"/>
      <c r="N95" s="85"/>
      <c r="O95" s="252"/>
      <c r="P95" s="259"/>
    </row>
    <row r="96" spans="1:16" ht="15.6" customHeight="1">
      <c r="A96" s="269"/>
      <c r="B96" s="237"/>
      <c r="C96" s="8" t="s">
        <v>267</v>
      </c>
      <c r="D96" s="202" t="s">
        <v>314</v>
      </c>
      <c r="E96" s="84">
        <f t="shared" si="3"/>
        <v>4</v>
      </c>
      <c r="F96" s="333">
        <v>3</v>
      </c>
      <c r="G96" s="131"/>
      <c r="H96" s="155"/>
      <c r="I96" s="20"/>
      <c r="J96" s="21"/>
      <c r="K96" s="273"/>
      <c r="L96" s="21"/>
      <c r="M96" s="203"/>
      <c r="N96" s="112"/>
      <c r="O96" s="252"/>
      <c r="P96" s="259"/>
    </row>
    <row r="97" spans="1:16" ht="15.6" customHeight="1">
      <c r="A97" s="269"/>
      <c r="B97" s="235" t="s">
        <v>190</v>
      </c>
      <c r="C97" s="17" t="s">
        <v>268</v>
      </c>
      <c r="D97" s="205" t="s">
        <v>89</v>
      </c>
      <c r="E97" s="88">
        <f t="shared" si="3"/>
        <v>3</v>
      </c>
      <c r="F97" s="328">
        <v>3</v>
      </c>
      <c r="G97" s="130"/>
      <c r="H97" s="153"/>
      <c r="I97" s="15"/>
      <c r="J97" s="16"/>
      <c r="K97" s="273"/>
      <c r="L97" s="14"/>
      <c r="M97" s="212"/>
      <c r="N97" s="181"/>
      <c r="O97" s="252"/>
      <c r="P97" s="259"/>
    </row>
    <row r="98" spans="1:16" ht="15.6" customHeight="1" thickBot="1">
      <c r="A98" s="269"/>
      <c r="B98" s="236"/>
      <c r="C98" s="8" t="s">
        <v>268</v>
      </c>
      <c r="D98" s="202" t="s">
        <v>315</v>
      </c>
      <c r="E98" s="334">
        <f t="shared" si="3"/>
        <v>3</v>
      </c>
      <c r="F98" s="341">
        <v>3</v>
      </c>
      <c r="G98" s="59"/>
      <c r="H98" s="154"/>
      <c r="I98" s="11"/>
      <c r="J98" s="12"/>
      <c r="K98" s="273"/>
      <c r="L98" s="10"/>
      <c r="M98" s="211"/>
      <c r="N98" s="179"/>
      <c r="O98" s="252"/>
      <c r="P98" s="259"/>
    </row>
    <row r="99" spans="1:16" ht="15.6" customHeight="1">
      <c r="A99" s="270"/>
      <c r="B99" s="244" t="s">
        <v>6</v>
      </c>
      <c r="C99" s="36" t="s">
        <v>267</v>
      </c>
      <c r="D99" s="199" t="s">
        <v>60</v>
      </c>
      <c r="E99" s="326">
        <f t="shared" si="3"/>
        <v>4</v>
      </c>
      <c r="F99" s="326">
        <v>3</v>
      </c>
      <c r="G99" s="132"/>
      <c r="H99" s="157"/>
      <c r="I99" s="66"/>
      <c r="J99" s="37"/>
      <c r="K99" s="231"/>
      <c r="L99" s="274" t="s">
        <v>325</v>
      </c>
      <c r="M99" s="213"/>
      <c r="N99" s="184"/>
      <c r="O99" s="255"/>
      <c r="P99" s="260"/>
    </row>
    <row r="100" spans="1:16" ht="15.6" customHeight="1">
      <c r="A100" s="270"/>
      <c r="B100" s="236"/>
      <c r="C100" s="8" t="s">
        <v>267</v>
      </c>
      <c r="D100" s="202" t="s">
        <v>316</v>
      </c>
      <c r="E100" s="84">
        <f t="shared" si="3"/>
        <v>4</v>
      </c>
      <c r="F100" s="333">
        <v>3</v>
      </c>
      <c r="G100" s="59"/>
      <c r="H100" s="154"/>
      <c r="I100" s="68"/>
      <c r="J100" s="12"/>
      <c r="K100" s="38"/>
      <c r="L100" s="275"/>
      <c r="M100" s="211"/>
      <c r="N100" s="179"/>
      <c r="O100" s="255"/>
      <c r="P100" s="260"/>
    </row>
    <row r="101" spans="1:16" ht="15.6" customHeight="1">
      <c r="A101" s="270"/>
      <c r="B101" s="234" t="s">
        <v>7</v>
      </c>
      <c r="C101" s="17" t="s">
        <v>268</v>
      </c>
      <c r="D101" s="205" t="s">
        <v>317</v>
      </c>
      <c r="E101" s="88">
        <v>4</v>
      </c>
      <c r="F101" s="328">
        <v>3</v>
      </c>
      <c r="G101" s="130"/>
      <c r="H101" s="153"/>
      <c r="I101" s="67"/>
      <c r="J101" s="16"/>
      <c r="K101" s="53"/>
      <c r="L101" s="275"/>
      <c r="M101" s="212" t="s">
        <v>326</v>
      </c>
      <c r="N101" s="181"/>
      <c r="O101" s="255"/>
      <c r="P101" s="260"/>
    </row>
    <row r="102" spans="1:16" ht="15.6" customHeight="1">
      <c r="A102" s="270"/>
      <c r="B102" s="235" t="s">
        <v>16</v>
      </c>
      <c r="C102" s="17" t="s">
        <v>268</v>
      </c>
      <c r="D102" s="205" t="s">
        <v>318</v>
      </c>
      <c r="E102" s="88">
        <f t="shared" si="3"/>
        <v>4</v>
      </c>
      <c r="F102" s="328">
        <v>3</v>
      </c>
      <c r="G102" s="130"/>
      <c r="H102" s="153"/>
      <c r="I102" s="13"/>
      <c r="J102" s="14"/>
      <c r="K102" s="174"/>
      <c r="L102" s="275"/>
      <c r="M102" s="212"/>
      <c r="N102" s="85"/>
      <c r="O102" s="255"/>
      <c r="P102" s="260"/>
    </row>
    <row r="103" spans="1:16" ht="15.6" customHeight="1">
      <c r="A103" s="270"/>
      <c r="B103" s="236"/>
      <c r="C103" s="8" t="s">
        <v>268</v>
      </c>
      <c r="D103" s="202" t="s">
        <v>319</v>
      </c>
      <c r="E103" s="84">
        <f>IFERROR(VLOOKUP(D103, 기본학점, 2, FALSE), "")</f>
        <v>4</v>
      </c>
      <c r="F103" s="333">
        <v>3</v>
      </c>
      <c r="G103" s="59"/>
      <c r="H103" s="154"/>
      <c r="I103" s="9"/>
      <c r="J103" s="10"/>
      <c r="K103" s="216"/>
      <c r="L103" s="275"/>
      <c r="M103" s="211"/>
      <c r="N103" s="179"/>
      <c r="O103" s="255"/>
      <c r="P103" s="260"/>
    </row>
    <row r="104" spans="1:16" ht="15.6" customHeight="1">
      <c r="A104" s="270"/>
      <c r="B104" s="235" t="s">
        <v>186</v>
      </c>
      <c r="C104" s="17" t="s">
        <v>268</v>
      </c>
      <c r="D104" s="205" t="s">
        <v>320</v>
      </c>
      <c r="E104" s="88">
        <f t="shared" si="3"/>
        <v>4</v>
      </c>
      <c r="F104" s="329">
        <v>3</v>
      </c>
      <c r="G104" s="130"/>
      <c r="H104" s="159"/>
      <c r="I104" s="42"/>
      <c r="J104" s="43"/>
      <c r="K104" s="41"/>
      <c r="L104" s="275"/>
      <c r="M104" s="212"/>
      <c r="N104" s="181"/>
      <c r="O104" s="255"/>
      <c r="P104" s="260"/>
    </row>
    <row r="105" spans="1:16" ht="15.6" customHeight="1">
      <c r="A105" s="270"/>
      <c r="B105" s="236"/>
      <c r="C105" s="8" t="s">
        <v>267</v>
      </c>
      <c r="D105" s="202" t="s">
        <v>164</v>
      </c>
      <c r="E105" s="84">
        <f>IFERROR(VLOOKUP(D105, 기본학점, 2, FALSE), "")</f>
        <v>4</v>
      </c>
      <c r="F105" s="333">
        <v>3</v>
      </c>
      <c r="G105" s="59"/>
      <c r="H105" s="160"/>
      <c r="I105" s="46"/>
      <c r="J105" s="47"/>
      <c r="K105" s="45"/>
      <c r="L105" s="275"/>
      <c r="M105" s="211"/>
      <c r="N105" s="179"/>
      <c r="O105" s="255"/>
      <c r="P105" s="260"/>
    </row>
    <row r="106" spans="1:16" ht="15.6" customHeight="1">
      <c r="A106" s="270"/>
      <c r="B106" s="236"/>
      <c r="C106" s="8" t="s">
        <v>267</v>
      </c>
      <c r="D106" s="202" t="s">
        <v>66</v>
      </c>
      <c r="E106" s="84">
        <f t="shared" ref="E106:E107" si="6">IFERROR(VLOOKUP(D106, 기본학점, 2, FALSE), "")</f>
        <v>4</v>
      </c>
      <c r="F106" s="333">
        <v>3</v>
      </c>
      <c r="G106" s="59"/>
      <c r="H106" s="160"/>
      <c r="I106" s="46"/>
      <c r="J106" s="47"/>
      <c r="K106" s="45"/>
      <c r="L106" s="275"/>
      <c r="M106" s="211"/>
      <c r="N106" s="179"/>
      <c r="O106" s="255"/>
      <c r="P106" s="260"/>
    </row>
    <row r="107" spans="1:16" ht="15.6" customHeight="1">
      <c r="A107" s="270"/>
      <c r="B107" s="236"/>
      <c r="C107" s="18" t="s">
        <v>267</v>
      </c>
      <c r="D107" s="207" t="s">
        <v>162</v>
      </c>
      <c r="E107" s="327">
        <f t="shared" si="6"/>
        <v>4</v>
      </c>
      <c r="F107" s="327">
        <v>3</v>
      </c>
      <c r="G107" s="59"/>
      <c r="H107" s="160"/>
      <c r="I107" s="46"/>
      <c r="J107" s="47"/>
      <c r="K107" s="45"/>
      <c r="L107" s="275"/>
      <c r="M107" s="211"/>
      <c r="N107" s="179"/>
      <c r="O107" s="255"/>
      <c r="P107" s="260"/>
    </row>
    <row r="108" spans="1:16" ht="15.6" customHeight="1">
      <c r="A108" s="270"/>
      <c r="B108" s="234" t="s">
        <v>8</v>
      </c>
      <c r="C108" s="17" t="s">
        <v>267</v>
      </c>
      <c r="D108" s="205" t="s">
        <v>168</v>
      </c>
      <c r="E108" s="88">
        <f t="shared" ref="E108:E114" si="7">IFERROR(VLOOKUP(D108, 기본학점, 2, FALSE), "")</f>
        <v>4</v>
      </c>
      <c r="F108" s="329">
        <v>3</v>
      </c>
      <c r="G108" s="130"/>
      <c r="H108" s="159"/>
      <c r="I108" s="13"/>
      <c r="J108" s="40"/>
      <c r="K108" s="232"/>
      <c r="L108" s="275"/>
      <c r="M108" s="212"/>
      <c r="N108" s="181"/>
      <c r="O108" s="255"/>
      <c r="P108" s="260"/>
    </row>
    <row r="109" spans="1:16" ht="15.6" customHeight="1">
      <c r="A109" s="270"/>
      <c r="B109" s="234" t="s">
        <v>104</v>
      </c>
      <c r="C109" s="17" t="s">
        <v>267</v>
      </c>
      <c r="D109" s="205" t="s">
        <v>321</v>
      </c>
      <c r="E109" s="88">
        <f t="shared" si="7"/>
        <v>4</v>
      </c>
      <c r="F109" s="329">
        <v>3</v>
      </c>
      <c r="G109" s="130"/>
      <c r="H109" s="153"/>
      <c r="I109" s="13"/>
      <c r="J109" s="14"/>
      <c r="K109" s="232"/>
      <c r="L109" s="275"/>
      <c r="M109" s="212"/>
      <c r="N109" s="85"/>
      <c r="O109" s="255"/>
      <c r="P109" s="260"/>
    </row>
    <row r="110" spans="1:16" ht="15.6" customHeight="1">
      <c r="A110" s="270"/>
      <c r="B110" s="235" t="s">
        <v>190</v>
      </c>
      <c r="C110" s="17" t="s">
        <v>268</v>
      </c>
      <c r="D110" s="205" t="s">
        <v>322</v>
      </c>
      <c r="E110" s="88">
        <v>2</v>
      </c>
      <c r="F110" s="329">
        <v>3</v>
      </c>
      <c r="G110" s="130"/>
      <c r="H110" s="153"/>
      <c r="I110" s="13"/>
      <c r="J110" s="14"/>
      <c r="K110" s="174"/>
      <c r="L110" s="275"/>
      <c r="M110" s="212" t="s">
        <v>327</v>
      </c>
      <c r="N110" s="85"/>
      <c r="O110" s="255"/>
      <c r="P110" s="260"/>
    </row>
    <row r="111" spans="1:16" ht="15.6" customHeight="1">
      <c r="A111" s="270"/>
      <c r="B111" s="236"/>
      <c r="C111" s="8" t="s">
        <v>268</v>
      </c>
      <c r="D111" s="202" t="s">
        <v>323</v>
      </c>
      <c r="E111" s="341">
        <v>2</v>
      </c>
      <c r="F111" s="333">
        <v>3</v>
      </c>
      <c r="G111" s="59"/>
      <c r="H111" s="154"/>
      <c r="I111" s="9"/>
      <c r="J111" s="10"/>
      <c r="K111" s="216"/>
      <c r="L111" s="275"/>
      <c r="M111" s="211" t="s">
        <v>327</v>
      </c>
      <c r="N111" s="179"/>
      <c r="O111" s="255"/>
      <c r="P111" s="260"/>
    </row>
    <row r="112" spans="1:16" ht="15.6" customHeight="1">
      <c r="A112" s="270"/>
      <c r="B112" s="236"/>
      <c r="C112" s="330" t="s">
        <v>266</v>
      </c>
      <c r="D112" s="331" t="s">
        <v>52</v>
      </c>
      <c r="E112" s="81">
        <f t="shared" ref="E112:E113" si="8">IFERROR(VLOOKUP(D112, 기본학점, 2, FALSE), "")</f>
        <v>3</v>
      </c>
      <c r="F112" s="345">
        <v>3</v>
      </c>
      <c r="G112" s="59"/>
      <c r="H112" s="154"/>
      <c r="I112" s="9"/>
      <c r="J112" s="10"/>
      <c r="K112" s="216"/>
      <c r="L112" s="275"/>
      <c r="M112" s="211"/>
      <c r="N112" s="179"/>
      <c r="O112" s="255"/>
      <c r="P112" s="260"/>
    </row>
    <row r="113" spans="1:17" ht="15.6" customHeight="1" thickBot="1">
      <c r="A113" s="271"/>
      <c r="B113" s="267"/>
      <c r="C113" s="55" t="s">
        <v>268</v>
      </c>
      <c r="D113" s="209" t="s">
        <v>324</v>
      </c>
      <c r="E113" s="81">
        <f t="shared" si="8"/>
        <v>3</v>
      </c>
      <c r="F113" s="346">
        <v>3</v>
      </c>
      <c r="G113" s="137"/>
      <c r="H113" s="162"/>
      <c r="I113" s="57"/>
      <c r="J113" s="56"/>
      <c r="K113" s="71"/>
      <c r="L113" s="276"/>
      <c r="M113" s="200"/>
      <c r="N113" s="179"/>
      <c r="O113" s="256"/>
      <c r="P113" s="261"/>
    </row>
    <row r="114" spans="1:17" ht="17.25" hidden="1" thickBot="1">
      <c r="A114" s="140"/>
      <c r="B114" s="122"/>
      <c r="C114" s="141"/>
      <c r="D114" s="142"/>
      <c r="E114" s="127" t="str">
        <f t="shared" si="7"/>
        <v/>
      </c>
      <c r="F114" s="129"/>
      <c r="G114" s="139"/>
      <c r="H114" s="214"/>
      <c r="I114" s="29"/>
      <c r="J114" s="190"/>
      <c r="K114" s="122"/>
      <c r="L114" s="190"/>
      <c r="M114" s="28"/>
      <c r="N114" s="28"/>
      <c r="O114" s="195"/>
      <c r="P114" s="196"/>
    </row>
    <row r="115" spans="1:17" ht="17.25" customHeight="1">
      <c r="A115" s="280" t="s">
        <v>187</v>
      </c>
      <c r="B115" s="281"/>
      <c r="C115" s="281"/>
      <c r="D115" s="281"/>
      <c r="E115" s="282"/>
      <c r="F115" s="78"/>
      <c r="G115" s="72">
        <f>SUM(G7:G113)</f>
        <v>29</v>
      </c>
      <c r="H115" s="197">
        <f>SUM(H7:H114)</f>
        <v>29</v>
      </c>
      <c r="I115" s="72">
        <v>29</v>
      </c>
      <c r="J115" s="73">
        <v>29</v>
      </c>
      <c r="K115" s="74">
        <v>29</v>
      </c>
      <c r="L115" s="31">
        <v>29</v>
      </c>
      <c r="M115" s="183"/>
      <c r="N115" s="183"/>
      <c r="O115" s="30">
        <f>SUM(G115:L115)</f>
        <v>174</v>
      </c>
      <c r="P115" s="188">
        <f>SUM(P7:P113)</f>
        <v>84</v>
      </c>
      <c r="Q115" s="1"/>
    </row>
    <row r="116" spans="1:17">
      <c r="A116" s="277" t="s">
        <v>5</v>
      </c>
      <c r="B116" s="278"/>
      <c r="C116" s="278"/>
      <c r="D116" s="278"/>
      <c r="E116" s="279"/>
      <c r="F116" s="75">
        <v>18</v>
      </c>
      <c r="G116" s="29">
        <v>3</v>
      </c>
      <c r="H116" s="190">
        <v>3</v>
      </c>
      <c r="I116" s="189">
        <v>3</v>
      </c>
      <c r="J116" s="190">
        <v>3</v>
      </c>
      <c r="K116" s="189">
        <v>3</v>
      </c>
      <c r="L116" s="187">
        <v>3</v>
      </c>
      <c r="M116" s="96"/>
      <c r="N116" s="29"/>
      <c r="O116" s="29">
        <f>SUM(G116:L116)</f>
        <v>18</v>
      </c>
      <c r="P116" s="185">
        <v>18</v>
      </c>
    </row>
    <row r="117" spans="1:17" ht="15" customHeight="1">
      <c r="A117" s="277" t="s">
        <v>24</v>
      </c>
      <c r="B117" s="278"/>
      <c r="C117" s="278"/>
      <c r="D117" s="278"/>
      <c r="E117" s="278"/>
      <c r="F117" s="279"/>
      <c r="G117" s="76">
        <f>SUM(G115:G116)</f>
        <v>32</v>
      </c>
      <c r="H117" s="77">
        <f t="shared" ref="H117" si="9">SUM(H115:H116)</f>
        <v>32</v>
      </c>
      <c r="I117" s="76">
        <f>SUM(I115:I116)</f>
        <v>32</v>
      </c>
      <c r="J117" s="77">
        <f t="shared" ref="J117" si="10">SUM(J115:J116)</f>
        <v>32</v>
      </c>
      <c r="K117" s="76">
        <f>SUM(K115:K116)</f>
        <v>32</v>
      </c>
      <c r="L117" s="77">
        <f t="shared" ref="L117" si="11">SUM(L115:L116)</f>
        <v>32</v>
      </c>
      <c r="M117" s="75"/>
      <c r="N117" s="186"/>
      <c r="O117" s="247">
        <f>SUM(G117:M117)</f>
        <v>192</v>
      </c>
      <c r="P117" s="248"/>
    </row>
    <row r="118" spans="1:17" ht="15" customHeight="1">
      <c r="A118" s="277" t="s">
        <v>188</v>
      </c>
      <c r="B118" s="278"/>
      <c r="C118" s="278"/>
      <c r="D118" s="278"/>
      <c r="E118" s="278"/>
      <c r="F118" s="279"/>
      <c r="G118" s="186"/>
      <c r="H118" s="77"/>
      <c r="I118" s="76"/>
      <c r="J118" s="77"/>
      <c r="K118" s="76"/>
      <c r="L118" s="191"/>
      <c r="M118" s="75"/>
      <c r="N118" s="186"/>
      <c r="O118" s="249"/>
      <c r="P118" s="250"/>
    </row>
    <row r="119" spans="1:17" ht="17.25" customHeight="1" thickBot="1">
      <c r="A119" s="283" t="s">
        <v>25</v>
      </c>
      <c r="B119" s="284"/>
      <c r="C119" s="284"/>
      <c r="D119" s="284"/>
      <c r="E119" s="284"/>
      <c r="F119" s="266"/>
      <c r="G119" s="245">
        <f>SUM(G117:H117)</f>
        <v>64</v>
      </c>
      <c r="H119" s="266"/>
      <c r="I119" s="245">
        <f t="shared" ref="I119" si="12">SUM(I117:J117)</f>
        <v>64</v>
      </c>
      <c r="J119" s="266"/>
      <c r="K119" s="245">
        <f t="shared" ref="K119" si="13">SUM(K117:L117)</f>
        <v>64</v>
      </c>
      <c r="L119" s="266"/>
      <c r="M119" s="97"/>
      <c r="N119" s="175"/>
      <c r="O119" s="245">
        <f>SUM(G119:M119)</f>
        <v>192</v>
      </c>
      <c r="P119" s="246"/>
    </row>
    <row r="120" spans="1:17">
      <c r="A120" s="310" t="s">
        <v>328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12"/>
    </row>
    <row r="121" spans="1:17">
      <c r="A121" s="313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5"/>
    </row>
    <row r="122" spans="1:17">
      <c r="A122" s="313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5"/>
    </row>
    <row r="123" spans="1:17">
      <c r="A123" s="313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14"/>
      <c r="M123" s="314"/>
      <c r="N123" s="314"/>
      <c r="O123" s="314"/>
      <c r="P123" s="315"/>
    </row>
    <row r="124" spans="1:17">
      <c r="A124" s="313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5"/>
    </row>
    <row r="125" spans="1:17">
      <c r="A125" s="313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4"/>
      <c r="M125" s="314"/>
      <c r="N125" s="314"/>
      <c r="O125" s="314"/>
      <c r="P125" s="315"/>
    </row>
    <row r="126" spans="1:17">
      <c r="A126" s="313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5"/>
    </row>
    <row r="127" spans="1:17">
      <c r="A127" s="313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5"/>
    </row>
    <row r="128" spans="1:17" ht="14.25" thickBot="1">
      <c r="A128" s="316"/>
      <c r="B128" s="317"/>
      <c r="C128" s="317"/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8"/>
    </row>
  </sheetData>
  <mergeCells count="92">
    <mergeCell ref="A2:D2"/>
    <mergeCell ref="B7:B10"/>
    <mergeCell ref="A120:P128"/>
    <mergeCell ref="J4:J5"/>
    <mergeCell ref="B19:B22"/>
    <mergeCell ref="P21:P22"/>
    <mergeCell ref="P15:P18"/>
    <mergeCell ref="K4:K5"/>
    <mergeCell ref="L4:L5"/>
    <mergeCell ref="P19:P20"/>
    <mergeCell ref="P33:P36"/>
    <mergeCell ref="B23:B26"/>
    <mergeCell ref="I41:I56"/>
    <mergeCell ref="P11:P14"/>
    <mergeCell ref="B15:B18"/>
    <mergeCell ref="P23:P26"/>
    <mergeCell ref="B27:B32"/>
    <mergeCell ref="P27:P32"/>
    <mergeCell ref="B39:B40"/>
    <mergeCell ref="B33:B36"/>
    <mergeCell ref="D3:D5"/>
    <mergeCell ref="A7:A40"/>
    <mergeCell ref="N3:N5"/>
    <mergeCell ref="J57:J74"/>
    <mergeCell ref="B87:B92"/>
    <mergeCell ref="B95:B96"/>
    <mergeCell ref="B11:B14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B60:B66"/>
    <mergeCell ref="B67:B70"/>
    <mergeCell ref="A117:F117"/>
    <mergeCell ref="A115:E115"/>
    <mergeCell ref="A116:E116"/>
    <mergeCell ref="A118:F118"/>
    <mergeCell ref="A119:F119"/>
    <mergeCell ref="B110:B113"/>
    <mergeCell ref="B71:B72"/>
    <mergeCell ref="B73:B74"/>
    <mergeCell ref="A41:A74"/>
    <mergeCell ref="B75:B76"/>
    <mergeCell ref="B77:B79"/>
    <mergeCell ref="B44:B48"/>
    <mergeCell ref="B49:B52"/>
    <mergeCell ref="B53:B54"/>
    <mergeCell ref="B55:B56"/>
    <mergeCell ref="G119:H119"/>
    <mergeCell ref="I119:J119"/>
    <mergeCell ref="K119:L119"/>
    <mergeCell ref="B97:B98"/>
    <mergeCell ref="A75:A113"/>
    <mergeCell ref="B80:B81"/>
    <mergeCell ref="B82:B86"/>
    <mergeCell ref="K75:K98"/>
    <mergeCell ref="B99:B100"/>
    <mergeCell ref="L99:L113"/>
    <mergeCell ref="B102:B103"/>
    <mergeCell ref="B104:B107"/>
    <mergeCell ref="O119:P119"/>
    <mergeCell ref="O117:P117"/>
    <mergeCell ref="O118:P118"/>
    <mergeCell ref="O39:O40"/>
    <mergeCell ref="O41:O74"/>
    <mergeCell ref="O75:O113"/>
    <mergeCell ref="P41:P74"/>
    <mergeCell ref="P75:P113"/>
    <mergeCell ref="O7:O10"/>
    <mergeCell ref="P7:P10"/>
    <mergeCell ref="O33:O36"/>
    <mergeCell ref="O23:O26"/>
    <mergeCell ref="B37:B38"/>
    <mergeCell ref="P37:P40"/>
    <mergeCell ref="O37:O38"/>
    <mergeCell ref="O27:O32"/>
    <mergeCell ref="O11:O14"/>
    <mergeCell ref="O15:O18"/>
    <mergeCell ref="O19:O20"/>
    <mergeCell ref="O21:O22"/>
  </mergeCells>
  <phoneticPr fontId="1" type="noConversion"/>
  <conditionalFormatting sqref="E7:E9 F42">
    <cfRule type="expression" dxfId="45" priority="119">
      <formula>ISTEXT(E7)</formula>
    </cfRule>
  </conditionalFormatting>
  <conditionalFormatting sqref="E11:E13">
    <cfRule type="expression" dxfId="44" priority="118">
      <formula>ISTEXT(E11)</formula>
    </cfRule>
  </conditionalFormatting>
  <conditionalFormatting sqref="E15:E17">
    <cfRule type="expression" dxfId="43" priority="54">
      <formula>ISTEXT(E15)</formula>
    </cfRule>
  </conditionalFormatting>
  <conditionalFormatting sqref="E19">
    <cfRule type="expression" dxfId="42" priority="115">
      <formula>ISTEXT(E19)</formula>
    </cfRule>
  </conditionalFormatting>
  <conditionalFormatting sqref="E21">
    <cfRule type="expression" dxfId="41" priority="114">
      <formula>ISTEXT(E21)</formula>
    </cfRule>
  </conditionalFormatting>
  <conditionalFormatting sqref="E23:E25">
    <cfRule type="expression" dxfId="40" priority="107">
      <formula>ISTEXT(E23)</formula>
    </cfRule>
  </conditionalFormatting>
  <conditionalFormatting sqref="E27:E31">
    <cfRule type="expression" dxfId="39" priority="106">
      <formula>ISTEXT(E27)</formula>
    </cfRule>
  </conditionalFormatting>
  <conditionalFormatting sqref="E33:E35">
    <cfRule type="expression" dxfId="38" priority="105">
      <formula>ISTEXT(E33)</formula>
    </cfRule>
  </conditionalFormatting>
  <conditionalFormatting sqref="E37">
    <cfRule type="expression" dxfId="37" priority="110">
      <formula>ISTEXT(E37)</formula>
    </cfRule>
  </conditionalFormatting>
  <conditionalFormatting sqref="E39">
    <cfRule type="expression" dxfId="36" priority="108">
      <formula>ISTEXT(E39)</formula>
    </cfRule>
  </conditionalFormatting>
  <conditionalFormatting sqref="E41">
    <cfRule type="expression" dxfId="35" priority="104">
      <formula>ISTEXT(E41)</formula>
    </cfRule>
  </conditionalFormatting>
  <conditionalFormatting sqref="E42">
    <cfRule type="expression" dxfId="34" priority="103">
      <formula>ISTEXT(E42)</formula>
    </cfRule>
  </conditionalFormatting>
  <conditionalFormatting sqref="E43">
    <cfRule type="expression" dxfId="33" priority="102">
      <formula>ISTEXT(E43)</formula>
    </cfRule>
  </conditionalFormatting>
  <conditionalFormatting sqref="E44:E47">
    <cfRule type="expression" dxfId="32" priority="101">
      <formula>ISTEXT(E44)</formula>
    </cfRule>
  </conditionalFormatting>
  <conditionalFormatting sqref="E49:E51">
    <cfRule type="expression" dxfId="31" priority="98">
      <formula>ISTEXT(E49)</formula>
    </cfRule>
  </conditionalFormatting>
  <conditionalFormatting sqref="E53">
    <cfRule type="expression" dxfId="30" priority="96">
      <formula>ISTEXT(E53)</formula>
    </cfRule>
  </conditionalFormatting>
  <conditionalFormatting sqref="E55">
    <cfRule type="expression" dxfId="29" priority="94">
      <formula>ISTEXT(E55)</formula>
    </cfRule>
  </conditionalFormatting>
  <conditionalFormatting sqref="E57">
    <cfRule type="expression" dxfId="28" priority="92">
      <formula>ISTEXT(E57)</formula>
    </cfRule>
  </conditionalFormatting>
  <conditionalFormatting sqref="E58">
    <cfRule type="expression" dxfId="27" priority="91">
      <formula>ISTEXT(E58)</formula>
    </cfRule>
  </conditionalFormatting>
  <conditionalFormatting sqref="E59">
    <cfRule type="expression" dxfId="26" priority="89">
      <formula>ISTEXT(E59)</formula>
    </cfRule>
  </conditionalFormatting>
  <conditionalFormatting sqref="E60:E65">
    <cfRule type="expression" dxfId="25" priority="87">
      <formula>ISTEXT(E60)</formula>
    </cfRule>
  </conditionalFormatting>
  <conditionalFormatting sqref="E67:E69">
    <cfRule type="expression" dxfId="24" priority="86">
      <formula>ISTEXT(E67)</formula>
    </cfRule>
  </conditionalFormatting>
  <conditionalFormatting sqref="E71">
    <cfRule type="expression" dxfId="23" priority="82">
      <formula>ISTEXT(E71)</formula>
    </cfRule>
  </conditionalFormatting>
  <conditionalFormatting sqref="E73">
    <cfRule type="expression" dxfId="22" priority="80">
      <formula>ISTEXT(E73)</formula>
    </cfRule>
  </conditionalFormatting>
  <conditionalFormatting sqref="E75">
    <cfRule type="expression" dxfId="20" priority="30">
      <formula>ISTEXT(E75)</formula>
    </cfRule>
  </conditionalFormatting>
  <conditionalFormatting sqref="E77:E78">
    <cfRule type="expression" dxfId="19" priority="29">
      <formula>ISTEXT(E77)</formula>
    </cfRule>
  </conditionalFormatting>
  <conditionalFormatting sqref="E80:E81">
    <cfRule type="expression" dxfId="18" priority="28">
      <formula>ISTEXT(E80)</formula>
    </cfRule>
  </conditionalFormatting>
  <conditionalFormatting sqref="E82:E85">
    <cfRule type="expression" dxfId="17" priority="27">
      <formula>ISTEXT(E82)</formula>
    </cfRule>
  </conditionalFormatting>
  <conditionalFormatting sqref="E87:E91">
    <cfRule type="expression" dxfId="16" priority="26">
      <formula>ISTEXT(E87)</formula>
    </cfRule>
  </conditionalFormatting>
  <conditionalFormatting sqref="E93">
    <cfRule type="expression" dxfId="15" priority="25">
      <formula>ISTEXT(E93)</formula>
    </cfRule>
  </conditionalFormatting>
  <conditionalFormatting sqref="E94">
    <cfRule type="expression" dxfId="14" priority="24">
      <formula>ISTEXT(E94)</formula>
    </cfRule>
  </conditionalFormatting>
  <conditionalFormatting sqref="E95">
    <cfRule type="expression" dxfId="13" priority="23">
      <formula>ISTEXT(E95)</formula>
    </cfRule>
  </conditionalFormatting>
  <conditionalFormatting sqref="E96">
    <cfRule type="expression" dxfId="12" priority="22">
      <formula>ISTEXT(E96)</formula>
    </cfRule>
  </conditionalFormatting>
  <conditionalFormatting sqref="E97">
    <cfRule type="expression" dxfId="11" priority="21">
      <formula>ISTEXT(E97)</formula>
    </cfRule>
  </conditionalFormatting>
  <conditionalFormatting sqref="E76">
    <cfRule type="expression" dxfId="10" priority="20">
      <formula>ISTEXT(E76)</formula>
    </cfRule>
  </conditionalFormatting>
  <conditionalFormatting sqref="E79">
    <cfRule type="expression" dxfId="9" priority="19">
      <formula>ISTEXT(E79)</formula>
    </cfRule>
  </conditionalFormatting>
  <conditionalFormatting sqref="E99:E100">
    <cfRule type="expression" dxfId="8" priority="9">
      <formula>ISTEXT(E99)</formula>
    </cfRule>
  </conditionalFormatting>
  <conditionalFormatting sqref="E101">
    <cfRule type="expression" dxfId="7" priority="8">
      <formula>ISTEXT(E101)</formula>
    </cfRule>
  </conditionalFormatting>
  <conditionalFormatting sqref="E102:E103">
    <cfRule type="expression" dxfId="6" priority="7">
      <formula>ISTEXT(E102)</formula>
    </cfRule>
  </conditionalFormatting>
  <conditionalFormatting sqref="E104:E105">
    <cfRule type="expression" dxfId="5" priority="6">
      <formula>ISTEXT(E104)</formula>
    </cfRule>
  </conditionalFormatting>
  <conditionalFormatting sqref="E106">
    <cfRule type="expression" dxfId="4" priority="5">
      <formula>ISTEXT(E106)</formula>
    </cfRule>
  </conditionalFormatting>
  <conditionalFormatting sqref="E108">
    <cfRule type="expression" dxfId="3" priority="4">
      <formula>ISTEXT(E108)</formula>
    </cfRule>
  </conditionalFormatting>
  <conditionalFormatting sqref="E109">
    <cfRule type="expression" dxfId="2" priority="3">
      <formula>ISTEXT(E109)</formula>
    </cfRule>
  </conditionalFormatting>
  <conditionalFormatting sqref="E110">
    <cfRule type="expression" dxfId="1" priority="2">
      <formula>ISTEXT(E110)</formula>
    </cfRule>
  </conditionalFormatting>
  <conditionalFormatting sqref="E112">
    <cfRule type="expression" dxfId="0" priority="1">
      <formula>ISTEXT(E112)</formula>
    </cfRule>
  </conditionalFormatting>
  <dataValidations xWindow="521" yWindow="482" count="5">
    <dataValidation type="list" allowBlank="1" showInputMessage="1" showErrorMessage="1" sqref="C7:C26 C41:C52 C57:C70 C75:C92 C109 C99:C108" xr:uid="{00000000-0002-0000-0000-000000000000}">
      <formula1>과목유형</formula1>
    </dataValidation>
    <dataValidation type="list" allowBlank="1" showInputMessage="1" showErrorMessage="1" sqref="B7:B37 B39:B114" xr:uid="{00000000-0002-0000-0000-000001000000}">
      <formula1>교과군</formula1>
    </dataValidation>
    <dataValidation type="list" allowBlank="1" showInputMessage="1" showErrorMessage="1" sqref="C27:C40 C53:C56 C71:C74 C93:C98 C110:C114" xr:uid="{00000000-0002-0000-0000-000002000000}">
      <formula1>과목유형2</formula1>
    </dataValidation>
    <dataValidation type="list" allowBlank="1" showInputMessage="1" sqref="N114 M7:M114" xr:uid="{00000000-0002-0000-0000-000003000000}">
      <formula1>비고</formula1>
    </dataValidation>
    <dataValidation type="list" allowBlank="1" showInputMessage="1" sqref="N7:N113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17:K117 O116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5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F114 F43:F74 F7:F41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D7:D74 D114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100" customWidth="1"/>
    <col min="2" max="3" width="10.5546875" style="100" customWidth="1"/>
    <col min="4" max="16384" width="8.77734375" style="100"/>
  </cols>
  <sheetData>
    <row r="1" spans="1:39" ht="24">
      <c r="A1" s="110" t="s">
        <v>3</v>
      </c>
      <c r="B1" s="111" t="s">
        <v>192</v>
      </c>
      <c r="C1" s="111" t="s">
        <v>240</v>
      </c>
      <c r="D1" s="98" t="s">
        <v>12</v>
      </c>
      <c r="E1" s="99" t="s">
        <v>202</v>
      </c>
      <c r="F1" s="99" t="s">
        <v>203</v>
      </c>
      <c r="G1" s="99" t="s">
        <v>204</v>
      </c>
      <c r="H1" s="99" t="s">
        <v>205</v>
      </c>
      <c r="I1" s="99" t="s">
        <v>206</v>
      </c>
      <c r="J1" s="99" t="s">
        <v>207</v>
      </c>
      <c r="K1" s="99" t="s">
        <v>208</v>
      </c>
      <c r="L1" s="99" t="s">
        <v>209</v>
      </c>
      <c r="M1" s="99" t="s">
        <v>210</v>
      </c>
      <c r="N1" s="99" t="s">
        <v>211</v>
      </c>
      <c r="O1" s="99" t="s">
        <v>212</v>
      </c>
      <c r="P1" s="99" t="s">
        <v>213</v>
      </c>
      <c r="Q1" s="99" t="s">
        <v>214</v>
      </c>
      <c r="R1" s="99" t="s">
        <v>215</v>
      </c>
      <c r="S1" s="99" t="s">
        <v>216</v>
      </c>
      <c r="T1" s="99" t="s">
        <v>217</v>
      </c>
      <c r="U1" s="99" t="s">
        <v>218</v>
      </c>
      <c r="V1" s="99" t="s">
        <v>219</v>
      </c>
      <c r="W1" s="99" t="s">
        <v>220</v>
      </c>
      <c r="X1" s="99" t="s">
        <v>221</v>
      </c>
      <c r="Y1" s="99" t="s">
        <v>222</v>
      </c>
      <c r="Z1" s="99" t="s">
        <v>223</v>
      </c>
      <c r="AA1" s="99" t="s">
        <v>224</v>
      </c>
      <c r="AB1" s="99" t="s">
        <v>225</v>
      </c>
      <c r="AC1" s="99" t="s">
        <v>226</v>
      </c>
      <c r="AD1" s="99" t="s">
        <v>227</v>
      </c>
      <c r="AE1" s="99" t="s">
        <v>228</v>
      </c>
      <c r="AF1" s="99" t="s">
        <v>229</v>
      </c>
      <c r="AG1" s="99" t="s">
        <v>230</v>
      </c>
      <c r="AH1" s="99" t="s">
        <v>231</v>
      </c>
      <c r="AI1" s="99" t="s">
        <v>232</v>
      </c>
      <c r="AJ1" s="99" t="s">
        <v>233</v>
      </c>
      <c r="AK1" s="99" t="s">
        <v>234</v>
      </c>
      <c r="AL1" s="99" t="s">
        <v>235</v>
      </c>
      <c r="AM1" s="99" t="s">
        <v>236</v>
      </c>
    </row>
    <row r="2" spans="1:39">
      <c r="A2" s="110" t="s">
        <v>6</v>
      </c>
      <c r="B2" s="110" t="s">
        <v>193</v>
      </c>
      <c r="C2" s="110" t="s">
        <v>241</v>
      </c>
      <c r="D2" s="98" t="s">
        <v>15</v>
      </c>
      <c r="E2" s="101" t="s">
        <v>27</v>
      </c>
      <c r="F2" s="101" t="s">
        <v>56</v>
      </c>
      <c r="G2" s="101" t="s">
        <v>58</v>
      </c>
      <c r="H2" s="101" t="s">
        <v>59</v>
      </c>
      <c r="I2" s="101" t="s">
        <v>28</v>
      </c>
      <c r="J2" s="101" t="s">
        <v>54</v>
      </c>
      <c r="K2" s="101" t="s">
        <v>105</v>
      </c>
      <c r="L2" s="101" t="s">
        <v>61</v>
      </c>
      <c r="M2" s="101" t="s">
        <v>29</v>
      </c>
      <c r="N2" s="101" t="s">
        <v>55</v>
      </c>
      <c r="O2" s="101" t="s">
        <v>101</v>
      </c>
      <c r="P2" s="101" t="s">
        <v>63</v>
      </c>
      <c r="Q2" s="101" t="s">
        <v>114</v>
      </c>
      <c r="R2" s="101" t="s">
        <v>65</v>
      </c>
      <c r="S2" s="102" t="s">
        <v>141</v>
      </c>
      <c r="T2" s="101" t="s">
        <v>66</v>
      </c>
      <c r="U2" s="101" t="s">
        <v>118</v>
      </c>
      <c r="V2" s="101" t="s">
        <v>125</v>
      </c>
      <c r="W2" s="101" t="s">
        <v>67</v>
      </c>
      <c r="X2" s="101" t="s">
        <v>167</v>
      </c>
      <c r="Y2" s="102" t="s">
        <v>129</v>
      </c>
      <c r="Z2" s="101" t="s">
        <v>153</v>
      </c>
      <c r="AA2" s="101" t="s">
        <v>170</v>
      </c>
      <c r="AB2" s="101" t="s">
        <v>131</v>
      </c>
      <c r="AC2" s="101" t="s">
        <v>70</v>
      </c>
      <c r="AD2" s="101" t="s">
        <v>71</v>
      </c>
      <c r="AE2" s="101" t="s">
        <v>112</v>
      </c>
      <c r="AF2" s="101" t="s">
        <v>154</v>
      </c>
      <c r="AG2" s="101" t="s">
        <v>74</v>
      </c>
      <c r="AH2" s="101" t="s">
        <v>83</v>
      </c>
      <c r="AI2" s="102" t="s">
        <v>158</v>
      </c>
      <c r="AJ2" s="101" t="s">
        <v>174</v>
      </c>
      <c r="AK2" s="101" t="s">
        <v>76</v>
      </c>
      <c r="AL2" s="102" t="s">
        <v>88</v>
      </c>
      <c r="AM2" s="101" t="s">
        <v>90</v>
      </c>
    </row>
    <row r="3" spans="1:39">
      <c r="A3" s="110" t="s">
        <v>7</v>
      </c>
      <c r="B3" s="110" t="s">
        <v>194</v>
      </c>
      <c r="C3" s="110" t="s">
        <v>241</v>
      </c>
      <c r="D3" s="98" t="s">
        <v>17</v>
      </c>
      <c r="E3" s="101" t="s">
        <v>31</v>
      </c>
      <c r="F3" s="101" t="s">
        <v>57</v>
      </c>
      <c r="G3" s="101" t="s">
        <v>77</v>
      </c>
      <c r="H3" s="101" t="s">
        <v>60</v>
      </c>
      <c r="I3" s="101" t="s">
        <v>34</v>
      </c>
      <c r="J3" s="101" t="s">
        <v>53</v>
      </c>
      <c r="K3" s="101" t="s">
        <v>106</v>
      </c>
      <c r="L3" s="101" t="s">
        <v>62</v>
      </c>
      <c r="M3" s="101" t="s">
        <v>40</v>
      </c>
      <c r="N3" s="102" t="s">
        <v>78</v>
      </c>
      <c r="O3" s="102" t="s">
        <v>79</v>
      </c>
      <c r="P3" s="101" t="s">
        <v>64</v>
      </c>
      <c r="Q3" s="101" t="s">
        <v>115</v>
      </c>
      <c r="R3" s="101" t="s">
        <v>122</v>
      </c>
      <c r="S3" s="101" t="s">
        <v>142</v>
      </c>
      <c r="T3" s="101" t="s">
        <v>162</v>
      </c>
      <c r="U3" s="101" t="s">
        <v>119</v>
      </c>
      <c r="V3" s="102" t="s">
        <v>126</v>
      </c>
      <c r="W3" s="101" t="s">
        <v>68</v>
      </c>
      <c r="X3" s="101" t="s">
        <v>168</v>
      </c>
      <c r="Y3" s="102" t="s">
        <v>130</v>
      </c>
      <c r="Z3" s="101" t="s">
        <v>109</v>
      </c>
      <c r="AA3" s="101" t="s">
        <v>171</v>
      </c>
      <c r="AB3" s="101" t="s">
        <v>81</v>
      </c>
      <c r="AC3" s="101" t="s">
        <v>72</v>
      </c>
      <c r="AD3" s="101" t="s">
        <v>47</v>
      </c>
      <c r="AE3" s="101" t="s">
        <v>48</v>
      </c>
      <c r="AF3" s="101" t="s">
        <v>155</v>
      </c>
      <c r="AG3" s="101" t="s">
        <v>75</v>
      </c>
      <c r="AH3" s="101" t="s">
        <v>132</v>
      </c>
      <c r="AI3" s="101" t="s">
        <v>159</v>
      </c>
      <c r="AJ3" s="101" t="s">
        <v>175</v>
      </c>
      <c r="AK3" s="101" t="s">
        <v>52</v>
      </c>
      <c r="AL3" s="101" t="s">
        <v>98</v>
      </c>
      <c r="AM3" s="101" t="s">
        <v>178</v>
      </c>
    </row>
    <row r="4" spans="1:39">
      <c r="A4" s="110" t="s">
        <v>16</v>
      </c>
      <c r="B4" s="110" t="s">
        <v>195</v>
      </c>
      <c r="C4" s="110" t="s">
        <v>241</v>
      </c>
      <c r="D4" s="98" t="s">
        <v>19</v>
      </c>
      <c r="E4" s="103"/>
      <c r="F4" s="101" t="s">
        <v>30</v>
      </c>
      <c r="G4" s="101" t="s">
        <v>32</v>
      </c>
      <c r="H4" s="101" t="s">
        <v>33</v>
      </c>
      <c r="I4" s="101" t="s">
        <v>38</v>
      </c>
      <c r="J4" s="101" t="s">
        <v>35</v>
      </c>
      <c r="K4" s="101" t="s">
        <v>108</v>
      </c>
      <c r="L4" s="101" t="s">
        <v>37</v>
      </c>
      <c r="M4" s="101" t="s">
        <v>43</v>
      </c>
      <c r="N4" s="101" t="s">
        <v>41</v>
      </c>
      <c r="O4" s="102" t="s">
        <v>138</v>
      </c>
      <c r="P4" s="101" t="s">
        <v>42</v>
      </c>
      <c r="Q4" s="101" t="s">
        <v>116</v>
      </c>
      <c r="R4" s="101" t="s">
        <v>123</v>
      </c>
      <c r="S4" s="101" t="s">
        <v>143</v>
      </c>
      <c r="T4" s="101" t="s">
        <v>163</v>
      </c>
      <c r="U4" s="101" t="s">
        <v>120</v>
      </c>
      <c r="V4" s="101" t="s">
        <v>127</v>
      </c>
      <c r="W4" s="101" t="s">
        <v>69</v>
      </c>
      <c r="X4" s="101" t="s">
        <v>169</v>
      </c>
      <c r="Z4" s="101" t="s">
        <v>110</v>
      </c>
      <c r="AB4" s="101" t="s">
        <v>82</v>
      </c>
      <c r="AC4" s="101" t="s">
        <v>73</v>
      </c>
      <c r="AF4" s="102" t="s">
        <v>156</v>
      </c>
      <c r="AG4" s="101" t="s">
        <v>111</v>
      </c>
      <c r="AH4" s="101" t="s">
        <v>133</v>
      </c>
      <c r="AI4" s="102" t="s">
        <v>160</v>
      </c>
      <c r="AJ4" s="101" t="s">
        <v>176</v>
      </c>
      <c r="AL4" s="102" t="s">
        <v>89</v>
      </c>
    </row>
    <row r="5" spans="1:39" ht="24">
      <c r="A5" s="111" t="s">
        <v>186</v>
      </c>
      <c r="B5" s="110" t="s">
        <v>196</v>
      </c>
      <c r="C5" s="110" t="s">
        <v>241</v>
      </c>
      <c r="D5" s="98" t="s">
        <v>113</v>
      </c>
      <c r="E5" s="103"/>
      <c r="F5" s="103"/>
      <c r="G5" s="103"/>
      <c r="H5" s="103"/>
      <c r="I5" s="101" t="s">
        <v>39</v>
      </c>
      <c r="J5" s="103"/>
      <c r="K5" s="101" t="s">
        <v>107</v>
      </c>
      <c r="L5" s="103"/>
      <c r="M5" s="101" t="s">
        <v>44</v>
      </c>
      <c r="N5" s="104"/>
      <c r="O5" s="101" t="s">
        <v>139</v>
      </c>
      <c r="P5" s="104"/>
      <c r="Q5" s="101" t="s">
        <v>117</v>
      </c>
      <c r="R5" s="101" t="s">
        <v>124</v>
      </c>
      <c r="S5" s="101" t="s">
        <v>144</v>
      </c>
      <c r="T5" s="101" t="s">
        <v>164</v>
      </c>
      <c r="U5" s="101" t="s">
        <v>121</v>
      </c>
      <c r="V5" s="102" t="s">
        <v>128</v>
      </c>
      <c r="W5" s="101" t="s">
        <v>148</v>
      </c>
      <c r="AC5" s="101" t="s">
        <v>46</v>
      </c>
      <c r="AF5" s="102" t="s">
        <v>157</v>
      </c>
      <c r="AG5" s="101" t="s">
        <v>172</v>
      </c>
      <c r="AH5" s="101" t="s">
        <v>134</v>
      </c>
      <c r="AI5" s="101" t="s">
        <v>161</v>
      </c>
      <c r="AJ5" s="101" t="s">
        <v>177</v>
      </c>
      <c r="AL5" s="101" t="s">
        <v>99</v>
      </c>
    </row>
    <row r="6" spans="1:39">
      <c r="A6" s="110" t="s">
        <v>8</v>
      </c>
      <c r="B6" s="110" t="s">
        <v>197</v>
      </c>
      <c r="C6" s="110" t="s">
        <v>241</v>
      </c>
      <c r="E6" s="103"/>
      <c r="F6" s="103"/>
      <c r="G6" s="103"/>
      <c r="H6" s="103"/>
      <c r="I6" s="103"/>
      <c r="J6" s="103"/>
      <c r="K6" s="101" t="s">
        <v>36</v>
      </c>
      <c r="L6" s="103"/>
      <c r="M6" s="103"/>
      <c r="N6" s="103"/>
      <c r="O6" s="101" t="s">
        <v>140</v>
      </c>
      <c r="P6" s="104"/>
      <c r="S6" s="102" t="s">
        <v>145</v>
      </c>
      <c r="T6" s="101" t="s">
        <v>165</v>
      </c>
      <c r="W6" s="101" t="s">
        <v>149</v>
      </c>
      <c r="AG6" s="101" t="s">
        <v>173</v>
      </c>
      <c r="AH6" s="101" t="s">
        <v>135</v>
      </c>
      <c r="AI6" s="102" t="s">
        <v>84</v>
      </c>
      <c r="AJ6" s="101" t="s">
        <v>86</v>
      </c>
      <c r="AL6" s="102" t="s">
        <v>91</v>
      </c>
    </row>
    <row r="7" spans="1:39">
      <c r="A7" s="110" t="s">
        <v>9</v>
      </c>
      <c r="B7" s="110" t="s">
        <v>198</v>
      </c>
      <c r="C7" s="110" t="s">
        <v>242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5"/>
      <c r="P7" s="104"/>
      <c r="S7" s="102" t="s">
        <v>146</v>
      </c>
      <c r="T7" s="101" t="s">
        <v>166</v>
      </c>
      <c r="W7" s="101" t="s">
        <v>150</v>
      </c>
      <c r="AH7" s="101" t="s">
        <v>136</v>
      </c>
      <c r="AI7" s="101" t="s">
        <v>93</v>
      </c>
      <c r="AJ7" s="101" t="s">
        <v>96</v>
      </c>
      <c r="AL7" s="101" t="s">
        <v>100</v>
      </c>
    </row>
    <row r="8" spans="1:39">
      <c r="A8" s="110" t="s">
        <v>10</v>
      </c>
      <c r="B8" s="110" t="s">
        <v>199</v>
      </c>
      <c r="C8" s="110" t="s">
        <v>242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5"/>
      <c r="P8" s="103"/>
      <c r="S8" s="102" t="s">
        <v>147</v>
      </c>
      <c r="W8" s="101" t="s">
        <v>151</v>
      </c>
      <c r="AH8" s="101" t="s">
        <v>137</v>
      </c>
      <c r="AI8" s="102" t="s">
        <v>85</v>
      </c>
      <c r="AJ8" s="101" t="s">
        <v>87</v>
      </c>
    </row>
    <row r="9" spans="1:39">
      <c r="A9" s="110" t="s">
        <v>189</v>
      </c>
      <c r="B9" s="110" t="s">
        <v>200</v>
      </c>
      <c r="C9" s="110" t="s">
        <v>242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103"/>
      <c r="S9" s="101" t="s">
        <v>80</v>
      </c>
      <c r="W9" s="101" t="s">
        <v>152</v>
      </c>
      <c r="AH9" s="101" t="s">
        <v>92</v>
      </c>
      <c r="AI9" s="101" t="s">
        <v>94</v>
      </c>
      <c r="AJ9" s="101" t="s">
        <v>97</v>
      </c>
    </row>
    <row r="10" spans="1:39">
      <c r="A10" s="110" t="s">
        <v>103</v>
      </c>
      <c r="B10" s="110" t="s">
        <v>201</v>
      </c>
      <c r="C10" s="110" t="s">
        <v>242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103"/>
      <c r="S10" s="101" t="s">
        <v>45</v>
      </c>
      <c r="AH10" s="101" t="s">
        <v>49</v>
      </c>
      <c r="AI10" s="102" t="s">
        <v>179</v>
      </c>
      <c r="AJ10" s="101" t="s">
        <v>51</v>
      </c>
    </row>
    <row r="11" spans="1:39">
      <c r="A11" s="110" t="s">
        <v>191</v>
      </c>
      <c r="B11" s="110" t="s">
        <v>102</v>
      </c>
      <c r="C11" s="110" t="s">
        <v>242</v>
      </c>
      <c r="AI11" s="101" t="s">
        <v>180</v>
      </c>
    </row>
    <row r="12" spans="1:39">
      <c r="AI12" s="102" t="s">
        <v>181</v>
      </c>
    </row>
    <row r="13" spans="1:39">
      <c r="D13" s="108" t="s">
        <v>237</v>
      </c>
      <c r="E13" s="108" t="s">
        <v>262</v>
      </c>
      <c r="F13" s="108" t="s">
        <v>238</v>
      </c>
      <c r="G13" s="108" t="s">
        <v>239</v>
      </c>
      <c r="J13" s="176" t="s">
        <v>246</v>
      </c>
      <c r="K13" s="177" t="s">
        <v>244</v>
      </c>
      <c r="AI13" s="101" t="s">
        <v>182</v>
      </c>
    </row>
    <row r="14" spans="1:39">
      <c r="D14" s="106" t="s">
        <v>27</v>
      </c>
      <c r="E14" s="108">
        <v>4</v>
      </c>
      <c r="F14" s="108">
        <v>3</v>
      </c>
      <c r="G14" s="108">
        <v>4</v>
      </c>
      <c r="J14" s="176" t="s">
        <v>247</v>
      </c>
      <c r="K14" s="177" t="s">
        <v>255</v>
      </c>
      <c r="AI14" s="102" t="s">
        <v>183</v>
      </c>
    </row>
    <row r="15" spans="1:39">
      <c r="D15" s="106" t="s">
        <v>31</v>
      </c>
      <c r="E15" s="108">
        <v>4</v>
      </c>
      <c r="F15" s="108">
        <v>3</v>
      </c>
      <c r="G15" s="108">
        <v>4</v>
      </c>
      <c r="J15" s="176" t="s">
        <v>248</v>
      </c>
      <c r="K15" s="177" t="s">
        <v>256</v>
      </c>
      <c r="AI15" s="101" t="s">
        <v>184</v>
      </c>
    </row>
    <row r="16" spans="1:39">
      <c r="D16" s="106" t="s">
        <v>28</v>
      </c>
      <c r="E16" s="108">
        <v>4</v>
      </c>
      <c r="F16" s="108">
        <v>3</v>
      </c>
      <c r="G16" s="108">
        <v>4</v>
      </c>
      <c r="J16" s="176" t="s">
        <v>249</v>
      </c>
      <c r="K16" s="177" t="s">
        <v>257</v>
      </c>
      <c r="AI16" s="102" t="s">
        <v>185</v>
      </c>
    </row>
    <row r="17" spans="4:35">
      <c r="D17" s="106" t="s">
        <v>34</v>
      </c>
      <c r="E17" s="108">
        <v>4</v>
      </c>
      <c r="F17" s="108">
        <v>3</v>
      </c>
      <c r="G17" s="108">
        <v>4</v>
      </c>
      <c r="J17" s="176" t="s">
        <v>250</v>
      </c>
      <c r="AI17" s="101" t="s">
        <v>95</v>
      </c>
    </row>
    <row r="18" spans="4:35">
      <c r="D18" s="106" t="s">
        <v>38</v>
      </c>
      <c r="E18" s="108">
        <v>4</v>
      </c>
      <c r="F18" s="108">
        <v>3</v>
      </c>
      <c r="G18" s="108">
        <v>4</v>
      </c>
      <c r="J18" s="176" t="s">
        <v>251</v>
      </c>
      <c r="K18" s="219"/>
      <c r="AI18" s="101" t="s">
        <v>50</v>
      </c>
    </row>
    <row r="19" spans="4:35">
      <c r="D19" s="106" t="s">
        <v>39</v>
      </c>
      <c r="E19" s="108">
        <v>4</v>
      </c>
      <c r="F19" s="108">
        <v>3</v>
      </c>
      <c r="G19" s="108">
        <v>4</v>
      </c>
      <c r="J19" s="176" t="s">
        <v>252</v>
      </c>
      <c r="K19" s="219"/>
    </row>
    <row r="20" spans="4:35">
      <c r="D20" s="106" t="s">
        <v>29</v>
      </c>
      <c r="E20" s="108">
        <v>4</v>
      </c>
      <c r="F20" s="108">
        <v>3</v>
      </c>
      <c r="G20" s="108">
        <v>4</v>
      </c>
      <c r="J20" s="176" t="s">
        <v>253</v>
      </c>
      <c r="K20" s="219"/>
    </row>
    <row r="21" spans="4:35">
      <c r="D21" s="106" t="s">
        <v>40</v>
      </c>
      <c r="E21" s="108">
        <v>4</v>
      </c>
      <c r="F21" s="108">
        <v>3</v>
      </c>
      <c r="G21" s="108">
        <v>4</v>
      </c>
      <c r="J21" s="176" t="s">
        <v>254</v>
      </c>
      <c r="K21" s="219"/>
    </row>
    <row r="22" spans="4:35">
      <c r="D22" s="106" t="s">
        <v>43</v>
      </c>
      <c r="E22" s="108">
        <v>4</v>
      </c>
      <c r="F22" s="108">
        <v>3</v>
      </c>
      <c r="G22" s="108">
        <v>4</v>
      </c>
      <c r="J22" s="176"/>
      <c r="K22" s="220"/>
    </row>
    <row r="23" spans="4:35">
      <c r="D23" s="106" t="s">
        <v>44</v>
      </c>
      <c r="E23" s="108">
        <v>4</v>
      </c>
      <c r="F23" s="108">
        <v>3</v>
      </c>
      <c r="G23" s="108">
        <v>4</v>
      </c>
    </row>
    <row r="24" spans="4:35">
      <c r="D24" s="106" t="s">
        <v>114</v>
      </c>
      <c r="E24" s="108">
        <v>3</v>
      </c>
      <c r="F24" s="108">
        <v>3</v>
      </c>
      <c r="G24" s="108">
        <v>3</v>
      </c>
    </row>
    <row r="25" spans="4:35">
      <c r="D25" s="106" t="s">
        <v>115</v>
      </c>
      <c r="E25" s="108">
        <v>3</v>
      </c>
      <c r="F25" s="108">
        <v>3</v>
      </c>
      <c r="G25" s="108">
        <v>3</v>
      </c>
    </row>
    <row r="26" spans="4:35">
      <c r="D26" s="106" t="s">
        <v>116</v>
      </c>
      <c r="E26" s="108">
        <v>4</v>
      </c>
      <c r="F26" s="108">
        <v>3</v>
      </c>
      <c r="G26" s="108">
        <v>4</v>
      </c>
    </row>
    <row r="27" spans="4:35">
      <c r="D27" s="106" t="s">
        <v>117</v>
      </c>
      <c r="E27" s="108">
        <v>4</v>
      </c>
      <c r="F27" s="108">
        <v>3</v>
      </c>
      <c r="G27" s="108">
        <v>4</v>
      </c>
    </row>
    <row r="28" spans="4:35">
      <c r="D28" s="106" t="s">
        <v>118</v>
      </c>
      <c r="E28" s="108">
        <v>4</v>
      </c>
      <c r="F28" s="108">
        <v>3</v>
      </c>
      <c r="G28" s="108">
        <v>4</v>
      </c>
    </row>
    <row r="29" spans="4:35">
      <c r="D29" s="106" t="s">
        <v>119</v>
      </c>
      <c r="E29" s="108">
        <v>4</v>
      </c>
      <c r="F29" s="108">
        <v>3</v>
      </c>
      <c r="G29" s="108">
        <v>4</v>
      </c>
    </row>
    <row r="30" spans="4:35">
      <c r="D30" s="106" t="s">
        <v>120</v>
      </c>
      <c r="E30" s="108">
        <v>1</v>
      </c>
      <c r="F30" s="108">
        <v>1</v>
      </c>
      <c r="G30" s="108">
        <v>1</v>
      </c>
    </row>
    <row r="31" spans="4:35">
      <c r="D31" s="106" t="s">
        <v>121</v>
      </c>
      <c r="E31" s="108">
        <v>1</v>
      </c>
      <c r="F31" s="108">
        <v>1</v>
      </c>
      <c r="G31" s="108">
        <v>1</v>
      </c>
    </row>
    <row r="32" spans="4:35">
      <c r="D32" s="106" t="s">
        <v>56</v>
      </c>
      <c r="E32" s="108">
        <v>4</v>
      </c>
      <c r="F32" s="108">
        <v>3</v>
      </c>
      <c r="G32" s="108">
        <v>5</v>
      </c>
    </row>
    <row r="33" spans="4:7">
      <c r="D33" s="106" t="s">
        <v>57</v>
      </c>
      <c r="E33" s="108">
        <v>4</v>
      </c>
      <c r="F33" s="108">
        <v>3</v>
      </c>
      <c r="G33" s="108">
        <v>5</v>
      </c>
    </row>
    <row r="34" spans="4:7">
      <c r="D34" s="106" t="s">
        <v>30</v>
      </c>
      <c r="E34" s="108">
        <v>4</v>
      </c>
      <c r="F34" s="108">
        <v>3</v>
      </c>
      <c r="G34" s="108">
        <v>5</v>
      </c>
    </row>
    <row r="35" spans="4:7">
      <c r="D35" s="106" t="s">
        <v>54</v>
      </c>
      <c r="E35" s="108">
        <v>4</v>
      </c>
      <c r="F35" s="108">
        <v>3</v>
      </c>
      <c r="G35" s="108">
        <v>5</v>
      </c>
    </row>
    <row r="36" spans="4:7">
      <c r="D36" s="106" t="s">
        <v>53</v>
      </c>
      <c r="E36" s="108">
        <v>4</v>
      </c>
      <c r="F36" s="108">
        <v>3</v>
      </c>
      <c r="G36" s="108">
        <v>5</v>
      </c>
    </row>
    <row r="37" spans="4:7">
      <c r="D37" s="106" t="s">
        <v>35</v>
      </c>
      <c r="E37" s="108">
        <v>4</v>
      </c>
      <c r="F37" s="108">
        <v>3</v>
      </c>
      <c r="G37" s="108">
        <v>5</v>
      </c>
    </row>
    <row r="38" spans="4:7">
      <c r="D38" s="106" t="s">
        <v>55</v>
      </c>
      <c r="E38" s="108">
        <v>4</v>
      </c>
      <c r="F38" s="108">
        <v>3</v>
      </c>
      <c r="G38" s="108">
        <v>5</v>
      </c>
    </row>
    <row r="39" spans="4:7">
      <c r="D39" s="107" t="s">
        <v>78</v>
      </c>
      <c r="E39" s="108">
        <v>4</v>
      </c>
      <c r="F39" s="108">
        <v>3</v>
      </c>
      <c r="G39" s="108">
        <v>5</v>
      </c>
    </row>
    <row r="40" spans="4:7">
      <c r="D40" s="106" t="s">
        <v>41</v>
      </c>
      <c r="E40" s="108">
        <v>4</v>
      </c>
      <c r="F40" s="108">
        <v>3</v>
      </c>
      <c r="G40" s="108">
        <v>5</v>
      </c>
    </row>
    <row r="41" spans="4:7">
      <c r="D41" s="106" t="s">
        <v>65</v>
      </c>
      <c r="E41" s="108">
        <v>4</v>
      </c>
      <c r="F41" s="108">
        <v>3</v>
      </c>
      <c r="G41" s="108">
        <v>5</v>
      </c>
    </row>
    <row r="42" spans="4:7">
      <c r="D42" s="106" t="s">
        <v>122</v>
      </c>
      <c r="E42" s="108">
        <v>4</v>
      </c>
      <c r="F42" s="108">
        <v>3</v>
      </c>
      <c r="G42" s="108">
        <v>5</v>
      </c>
    </row>
    <row r="43" spans="4:7">
      <c r="D43" s="106" t="s">
        <v>123</v>
      </c>
      <c r="E43" s="108">
        <v>4</v>
      </c>
      <c r="F43" s="108">
        <v>3</v>
      </c>
      <c r="G43" s="108">
        <v>5</v>
      </c>
    </row>
    <row r="44" spans="4:7">
      <c r="D44" s="106" t="s">
        <v>124</v>
      </c>
      <c r="E44" s="108">
        <v>4</v>
      </c>
      <c r="F44" s="108">
        <v>3</v>
      </c>
      <c r="G44" s="108">
        <v>5</v>
      </c>
    </row>
    <row r="45" spans="4:7">
      <c r="D45" s="106" t="s">
        <v>125</v>
      </c>
      <c r="E45" s="108">
        <v>4</v>
      </c>
      <c r="F45" s="108">
        <v>3</v>
      </c>
      <c r="G45" s="108">
        <v>5</v>
      </c>
    </row>
    <row r="46" spans="4:7">
      <c r="D46" s="107" t="s">
        <v>126</v>
      </c>
      <c r="E46" s="108">
        <v>4</v>
      </c>
      <c r="F46" s="108">
        <v>3</v>
      </c>
      <c r="G46" s="108">
        <v>5</v>
      </c>
    </row>
    <row r="47" spans="4:7">
      <c r="D47" s="106" t="s">
        <v>127</v>
      </c>
      <c r="E47" s="108">
        <v>4</v>
      </c>
      <c r="F47" s="108">
        <v>3</v>
      </c>
      <c r="G47" s="108">
        <v>5</v>
      </c>
    </row>
    <row r="48" spans="4:7">
      <c r="D48" s="107" t="s">
        <v>128</v>
      </c>
      <c r="E48" s="108">
        <v>4</v>
      </c>
      <c r="F48" s="108">
        <v>3</v>
      </c>
      <c r="G48" s="108">
        <v>5</v>
      </c>
    </row>
    <row r="49" spans="4:7">
      <c r="D49" s="107" t="s">
        <v>129</v>
      </c>
      <c r="E49" s="108">
        <v>3</v>
      </c>
      <c r="F49" s="108">
        <v>2</v>
      </c>
      <c r="G49" s="108">
        <v>4</v>
      </c>
    </row>
    <row r="50" spans="4:7">
      <c r="D50" s="107" t="s">
        <v>130</v>
      </c>
      <c r="E50" s="108">
        <v>3</v>
      </c>
      <c r="F50" s="108">
        <v>2</v>
      </c>
      <c r="G50" s="108">
        <v>4</v>
      </c>
    </row>
    <row r="51" spans="4:7">
      <c r="D51" s="106" t="s">
        <v>131</v>
      </c>
      <c r="E51" s="108">
        <v>3</v>
      </c>
      <c r="F51" s="108">
        <v>2</v>
      </c>
      <c r="G51" s="108">
        <v>4</v>
      </c>
    </row>
    <row r="52" spans="4:7">
      <c r="D52" s="106" t="s">
        <v>81</v>
      </c>
      <c r="E52" s="108">
        <v>3</v>
      </c>
      <c r="F52" s="108">
        <v>2</v>
      </c>
      <c r="G52" s="108">
        <v>4</v>
      </c>
    </row>
    <row r="53" spans="4:7">
      <c r="D53" s="106" t="s">
        <v>82</v>
      </c>
      <c r="E53" s="108">
        <v>3</v>
      </c>
      <c r="F53" s="108">
        <v>2</v>
      </c>
      <c r="G53" s="108">
        <v>4</v>
      </c>
    </row>
    <row r="54" spans="4:7">
      <c r="D54" s="106" t="s">
        <v>112</v>
      </c>
      <c r="E54" s="108">
        <v>4</v>
      </c>
      <c r="F54" s="108">
        <v>3</v>
      </c>
      <c r="G54" s="108">
        <v>5</v>
      </c>
    </row>
    <row r="55" spans="4:7">
      <c r="D55" s="106" t="s">
        <v>48</v>
      </c>
      <c r="E55" s="108">
        <v>4</v>
      </c>
      <c r="F55" s="108">
        <v>3</v>
      </c>
      <c r="G55" s="108">
        <v>5</v>
      </c>
    </row>
    <row r="56" spans="4:7">
      <c r="D56" s="106" t="s">
        <v>83</v>
      </c>
      <c r="E56" s="108">
        <v>4</v>
      </c>
      <c r="F56" s="108">
        <v>3</v>
      </c>
      <c r="G56" s="108">
        <v>5</v>
      </c>
    </row>
    <row r="57" spans="4:7">
      <c r="D57" s="106" t="s">
        <v>132</v>
      </c>
      <c r="E57" s="108">
        <v>4</v>
      </c>
      <c r="F57" s="108">
        <v>3</v>
      </c>
      <c r="G57" s="108">
        <v>5</v>
      </c>
    </row>
    <row r="58" spans="4:7">
      <c r="D58" s="106" t="s">
        <v>133</v>
      </c>
      <c r="E58" s="108">
        <v>4</v>
      </c>
      <c r="F58" s="108">
        <v>3</v>
      </c>
      <c r="G58" s="108">
        <v>5</v>
      </c>
    </row>
    <row r="59" spans="4:7">
      <c r="D59" s="106" t="s">
        <v>134</v>
      </c>
      <c r="E59" s="108">
        <v>4</v>
      </c>
      <c r="F59" s="108">
        <v>3</v>
      </c>
      <c r="G59" s="108">
        <v>5</v>
      </c>
    </row>
    <row r="60" spans="4:7">
      <c r="D60" s="106" t="s">
        <v>135</v>
      </c>
      <c r="E60" s="108">
        <v>4</v>
      </c>
      <c r="F60" s="108">
        <v>3</v>
      </c>
      <c r="G60" s="108">
        <v>5</v>
      </c>
    </row>
    <row r="61" spans="4:7">
      <c r="D61" s="106" t="s">
        <v>136</v>
      </c>
      <c r="E61" s="108">
        <v>4</v>
      </c>
      <c r="F61" s="108">
        <v>3</v>
      </c>
      <c r="G61" s="108">
        <v>5</v>
      </c>
    </row>
    <row r="62" spans="4:7">
      <c r="D62" s="106" t="s">
        <v>137</v>
      </c>
      <c r="E62" s="108">
        <v>4</v>
      </c>
      <c r="F62" s="108">
        <v>3</v>
      </c>
      <c r="G62" s="108">
        <v>5</v>
      </c>
    </row>
    <row r="63" spans="4:7">
      <c r="D63" s="106" t="s">
        <v>92</v>
      </c>
      <c r="E63" s="108">
        <v>4</v>
      </c>
      <c r="F63" s="108">
        <v>3</v>
      </c>
      <c r="G63" s="108">
        <v>5</v>
      </c>
    </row>
    <row r="64" spans="4:7">
      <c r="D64" s="106" t="s">
        <v>49</v>
      </c>
      <c r="E64" s="108">
        <v>4</v>
      </c>
      <c r="F64" s="108">
        <v>3</v>
      </c>
      <c r="G64" s="108">
        <v>5</v>
      </c>
    </row>
    <row r="65" spans="4:7">
      <c r="D65" s="106" t="s">
        <v>76</v>
      </c>
      <c r="E65" s="108">
        <v>3</v>
      </c>
      <c r="F65" s="108">
        <v>2</v>
      </c>
      <c r="G65" s="108">
        <v>4</v>
      </c>
    </row>
    <row r="66" spans="4:7">
      <c r="D66" s="106" t="s">
        <v>52</v>
      </c>
      <c r="E66" s="108">
        <v>3</v>
      </c>
      <c r="F66" s="108">
        <v>2</v>
      </c>
      <c r="G66" s="108">
        <v>4</v>
      </c>
    </row>
    <row r="67" spans="4:7">
      <c r="D67" s="106" t="s">
        <v>58</v>
      </c>
      <c r="E67" s="108">
        <v>4</v>
      </c>
      <c r="F67" s="108">
        <v>3</v>
      </c>
      <c r="G67" s="108">
        <v>5</v>
      </c>
    </row>
    <row r="68" spans="4:7">
      <c r="D68" s="106" t="s">
        <v>77</v>
      </c>
      <c r="E68" s="108">
        <v>4</v>
      </c>
      <c r="F68" s="108">
        <v>3</v>
      </c>
      <c r="G68" s="108">
        <v>5</v>
      </c>
    </row>
    <row r="69" spans="4:7">
      <c r="D69" s="106" t="s">
        <v>32</v>
      </c>
      <c r="E69" s="108">
        <v>4</v>
      </c>
      <c r="F69" s="108">
        <v>3</v>
      </c>
      <c r="G69" s="108">
        <v>5</v>
      </c>
    </row>
    <row r="70" spans="4:7">
      <c r="D70" s="106" t="s">
        <v>105</v>
      </c>
      <c r="E70" s="108">
        <v>4</v>
      </c>
      <c r="F70" s="108">
        <v>3</v>
      </c>
      <c r="G70" s="108">
        <v>5</v>
      </c>
    </row>
    <row r="71" spans="4:7">
      <c r="D71" s="106" t="s">
        <v>106</v>
      </c>
      <c r="E71" s="108">
        <v>4</v>
      </c>
      <c r="F71" s="108">
        <v>3</v>
      </c>
      <c r="G71" s="108">
        <v>5</v>
      </c>
    </row>
    <row r="72" spans="4:7">
      <c r="D72" s="106" t="s">
        <v>108</v>
      </c>
      <c r="E72" s="108">
        <v>4</v>
      </c>
      <c r="F72" s="108">
        <v>3</v>
      </c>
      <c r="G72" s="108">
        <v>5</v>
      </c>
    </row>
    <row r="73" spans="4:7">
      <c r="D73" s="106" t="s">
        <v>107</v>
      </c>
      <c r="E73" s="108">
        <v>4</v>
      </c>
      <c r="F73" s="108">
        <v>3</v>
      </c>
      <c r="G73" s="108">
        <v>5</v>
      </c>
    </row>
    <row r="74" spans="4:7">
      <c r="D74" s="106" t="s">
        <v>36</v>
      </c>
      <c r="E74" s="108">
        <v>4</v>
      </c>
      <c r="F74" s="108">
        <v>3</v>
      </c>
      <c r="G74" s="108">
        <v>5</v>
      </c>
    </row>
    <row r="75" spans="4:7">
      <c r="D75" s="106" t="s">
        <v>101</v>
      </c>
      <c r="E75" s="108">
        <v>4</v>
      </c>
      <c r="F75" s="108">
        <v>3</v>
      </c>
      <c r="G75" s="108">
        <v>5</v>
      </c>
    </row>
    <row r="76" spans="4:7">
      <c r="D76" s="107" t="s">
        <v>79</v>
      </c>
      <c r="E76" s="108">
        <v>4</v>
      </c>
      <c r="F76" s="108">
        <v>3</v>
      </c>
      <c r="G76" s="108">
        <v>5</v>
      </c>
    </row>
    <row r="77" spans="4:7">
      <c r="D77" s="107" t="s">
        <v>138</v>
      </c>
      <c r="E77" s="108">
        <v>4</v>
      </c>
      <c r="F77" s="108">
        <v>3</v>
      </c>
      <c r="G77" s="108">
        <v>5</v>
      </c>
    </row>
    <row r="78" spans="4:7">
      <c r="D78" s="106" t="s">
        <v>139</v>
      </c>
      <c r="E78" s="108">
        <v>4</v>
      </c>
      <c r="F78" s="108">
        <v>3</v>
      </c>
      <c r="G78" s="108">
        <v>5</v>
      </c>
    </row>
    <row r="79" spans="4:7">
      <c r="D79" s="106" t="s">
        <v>140</v>
      </c>
      <c r="E79" s="108">
        <v>4</v>
      </c>
      <c r="F79" s="108">
        <v>3</v>
      </c>
      <c r="G79" s="108">
        <v>5</v>
      </c>
    </row>
    <row r="80" spans="4:7">
      <c r="D80" s="107" t="s">
        <v>141</v>
      </c>
      <c r="E80" s="108">
        <v>4</v>
      </c>
      <c r="F80" s="108">
        <v>3</v>
      </c>
      <c r="G80" s="108">
        <v>5</v>
      </c>
    </row>
    <row r="81" spans="4:7">
      <c r="D81" s="106" t="s">
        <v>142</v>
      </c>
      <c r="E81" s="108">
        <v>4</v>
      </c>
      <c r="F81" s="108">
        <v>3</v>
      </c>
      <c r="G81" s="108">
        <v>5</v>
      </c>
    </row>
    <row r="82" spans="4:7">
      <c r="D82" s="106" t="s">
        <v>143</v>
      </c>
      <c r="E82" s="108">
        <v>4</v>
      </c>
      <c r="F82" s="108">
        <v>3</v>
      </c>
      <c r="G82" s="108">
        <v>5</v>
      </c>
    </row>
    <row r="83" spans="4:7">
      <c r="D83" s="106" t="s">
        <v>144</v>
      </c>
      <c r="E83" s="108">
        <v>4</v>
      </c>
      <c r="F83" s="108">
        <v>3</v>
      </c>
      <c r="G83" s="108">
        <v>5</v>
      </c>
    </row>
    <row r="84" spans="4:7">
      <c r="D84" s="107" t="s">
        <v>145</v>
      </c>
      <c r="E84" s="108">
        <v>4</v>
      </c>
      <c r="F84" s="108">
        <v>3</v>
      </c>
      <c r="G84" s="108">
        <v>5</v>
      </c>
    </row>
    <row r="85" spans="4:7">
      <c r="D85" s="107" t="s">
        <v>146</v>
      </c>
      <c r="E85" s="108">
        <v>4</v>
      </c>
      <c r="F85" s="108">
        <v>3</v>
      </c>
      <c r="G85" s="108">
        <v>5</v>
      </c>
    </row>
    <row r="86" spans="4:7">
      <c r="D86" s="107" t="s">
        <v>147</v>
      </c>
      <c r="E86" s="108">
        <v>4</v>
      </c>
      <c r="F86" s="108">
        <v>3</v>
      </c>
      <c r="G86" s="108">
        <v>5</v>
      </c>
    </row>
    <row r="87" spans="4:7">
      <c r="D87" s="106" t="s">
        <v>80</v>
      </c>
      <c r="E87" s="108">
        <v>4</v>
      </c>
      <c r="F87" s="108">
        <v>3</v>
      </c>
      <c r="G87" s="108">
        <v>5</v>
      </c>
    </row>
    <row r="88" spans="4:7">
      <c r="D88" s="106" t="s">
        <v>45</v>
      </c>
      <c r="E88" s="108">
        <v>4</v>
      </c>
      <c r="F88" s="108">
        <v>3</v>
      </c>
      <c r="G88" s="108">
        <v>5</v>
      </c>
    </row>
    <row r="89" spans="4:7">
      <c r="D89" s="106" t="s">
        <v>67</v>
      </c>
      <c r="E89" s="108">
        <v>4</v>
      </c>
      <c r="F89" s="108">
        <v>3</v>
      </c>
      <c r="G89" s="108">
        <v>5</v>
      </c>
    </row>
    <row r="90" spans="4:7">
      <c r="D90" s="106" t="s">
        <v>68</v>
      </c>
      <c r="E90" s="108">
        <v>4</v>
      </c>
      <c r="F90" s="108">
        <v>3</v>
      </c>
      <c r="G90" s="108">
        <v>5</v>
      </c>
    </row>
    <row r="91" spans="4:7">
      <c r="D91" s="106" t="s">
        <v>69</v>
      </c>
      <c r="E91" s="108">
        <v>4</v>
      </c>
      <c r="F91" s="108">
        <v>3</v>
      </c>
      <c r="G91" s="108">
        <v>5</v>
      </c>
    </row>
    <row r="92" spans="4:7">
      <c r="D92" s="106" t="s">
        <v>148</v>
      </c>
      <c r="E92" s="108">
        <v>4</v>
      </c>
      <c r="F92" s="108">
        <v>3</v>
      </c>
      <c r="G92" s="108">
        <v>5</v>
      </c>
    </row>
    <row r="93" spans="4:7">
      <c r="D93" s="106" t="s">
        <v>149</v>
      </c>
      <c r="E93" s="108">
        <v>4</v>
      </c>
      <c r="F93" s="108">
        <v>3</v>
      </c>
      <c r="G93" s="108">
        <v>5</v>
      </c>
    </row>
    <row r="94" spans="4:7">
      <c r="D94" s="106" t="s">
        <v>150</v>
      </c>
      <c r="E94" s="108">
        <v>4</v>
      </c>
      <c r="F94" s="108">
        <v>3</v>
      </c>
      <c r="G94" s="108">
        <v>5</v>
      </c>
    </row>
    <row r="95" spans="4:7">
      <c r="D95" s="106" t="s">
        <v>151</v>
      </c>
      <c r="E95" s="108">
        <v>4</v>
      </c>
      <c r="F95" s="108">
        <v>3</v>
      </c>
      <c r="G95" s="108">
        <v>5</v>
      </c>
    </row>
    <row r="96" spans="4:7">
      <c r="D96" s="106" t="s">
        <v>152</v>
      </c>
      <c r="E96" s="108">
        <v>4</v>
      </c>
      <c r="F96" s="108">
        <v>3</v>
      </c>
      <c r="G96" s="108">
        <v>5</v>
      </c>
    </row>
    <row r="97" spans="4:7">
      <c r="D97" s="106" t="s">
        <v>153</v>
      </c>
      <c r="E97" s="108">
        <v>3</v>
      </c>
      <c r="F97" s="108">
        <v>2</v>
      </c>
      <c r="G97" s="108">
        <v>4</v>
      </c>
    </row>
    <row r="98" spans="4:7">
      <c r="D98" s="106" t="s">
        <v>109</v>
      </c>
      <c r="E98" s="109">
        <v>2</v>
      </c>
      <c r="F98" s="109">
        <v>1</v>
      </c>
      <c r="G98" s="109">
        <v>2</v>
      </c>
    </row>
    <row r="99" spans="4:7">
      <c r="D99" s="106" t="s">
        <v>110</v>
      </c>
      <c r="E99" s="109">
        <v>2</v>
      </c>
      <c r="F99" s="109">
        <v>1</v>
      </c>
      <c r="G99" s="109">
        <v>2</v>
      </c>
    </row>
    <row r="100" spans="4:7">
      <c r="D100" s="106" t="s">
        <v>70</v>
      </c>
      <c r="E100" s="108">
        <v>3</v>
      </c>
      <c r="F100" s="108">
        <v>2</v>
      </c>
      <c r="G100" s="108">
        <v>4</v>
      </c>
    </row>
    <row r="101" spans="4:7">
      <c r="D101" s="106" t="s">
        <v>72</v>
      </c>
      <c r="E101" s="108">
        <v>3</v>
      </c>
      <c r="F101" s="108">
        <v>2</v>
      </c>
      <c r="G101" s="108">
        <v>4</v>
      </c>
    </row>
    <row r="102" spans="4:7">
      <c r="D102" s="106" t="s">
        <v>73</v>
      </c>
      <c r="E102" s="108">
        <v>3</v>
      </c>
      <c r="F102" s="108">
        <v>2</v>
      </c>
      <c r="G102" s="108">
        <v>4</v>
      </c>
    </row>
    <row r="103" spans="4:7">
      <c r="D103" s="106" t="s">
        <v>46</v>
      </c>
      <c r="E103" s="108">
        <v>3</v>
      </c>
      <c r="F103" s="108">
        <v>2</v>
      </c>
      <c r="G103" s="108">
        <v>4</v>
      </c>
    </row>
    <row r="104" spans="4:7">
      <c r="D104" s="106" t="s">
        <v>154</v>
      </c>
      <c r="E104" s="108">
        <v>4</v>
      </c>
      <c r="F104" s="108">
        <v>3</v>
      </c>
      <c r="G104" s="108">
        <v>5</v>
      </c>
    </row>
    <row r="105" spans="4:7">
      <c r="D105" s="106" t="s">
        <v>155</v>
      </c>
      <c r="E105" s="108">
        <v>4</v>
      </c>
      <c r="F105" s="108">
        <v>3</v>
      </c>
      <c r="G105" s="108">
        <v>5</v>
      </c>
    </row>
    <row r="106" spans="4:7">
      <c r="D106" s="107" t="s">
        <v>156</v>
      </c>
      <c r="E106" s="108">
        <v>4</v>
      </c>
      <c r="F106" s="108">
        <v>3</v>
      </c>
      <c r="G106" s="108">
        <v>5</v>
      </c>
    </row>
    <row r="107" spans="4:7">
      <c r="D107" s="107" t="s">
        <v>157</v>
      </c>
      <c r="E107" s="108">
        <v>4</v>
      </c>
      <c r="F107" s="108">
        <v>3</v>
      </c>
      <c r="G107" s="108">
        <v>5</v>
      </c>
    </row>
    <row r="108" spans="4:7">
      <c r="D108" s="107" t="s">
        <v>158</v>
      </c>
      <c r="E108" s="108">
        <v>4</v>
      </c>
      <c r="F108" s="108">
        <v>3</v>
      </c>
      <c r="G108" s="108">
        <v>5</v>
      </c>
    </row>
    <row r="109" spans="4:7">
      <c r="D109" s="106" t="s">
        <v>159</v>
      </c>
      <c r="E109" s="108">
        <v>4</v>
      </c>
      <c r="F109" s="108">
        <v>3</v>
      </c>
      <c r="G109" s="108">
        <v>5</v>
      </c>
    </row>
    <row r="110" spans="4:7">
      <c r="D110" s="107" t="s">
        <v>160</v>
      </c>
      <c r="E110" s="108">
        <v>4</v>
      </c>
      <c r="F110" s="108">
        <v>3</v>
      </c>
      <c r="G110" s="108">
        <v>5</v>
      </c>
    </row>
    <row r="111" spans="4:7">
      <c r="D111" s="106" t="s">
        <v>161</v>
      </c>
      <c r="E111" s="108">
        <v>4</v>
      </c>
      <c r="F111" s="108">
        <v>3</v>
      </c>
      <c r="G111" s="108">
        <v>5</v>
      </c>
    </row>
    <row r="112" spans="4:7">
      <c r="D112" s="107" t="s">
        <v>84</v>
      </c>
      <c r="E112" s="108">
        <v>4</v>
      </c>
      <c r="F112" s="108">
        <v>3</v>
      </c>
      <c r="G112" s="108">
        <v>5</v>
      </c>
    </row>
    <row r="113" spans="4:7">
      <c r="D113" s="106" t="s">
        <v>93</v>
      </c>
      <c r="E113" s="108">
        <v>4</v>
      </c>
      <c r="F113" s="108">
        <v>3</v>
      </c>
      <c r="G113" s="108">
        <v>5</v>
      </c>
    </row>
    <row r="114" spans="4:7">
      <c r="D114" s="107" t="s">
        <v>85</v>
      </c>
      <c r="E114" s="108">
        <v>4</v>
      </c>
      <c r="F114" s="108">
        <v>3</v>
      </c>
      <c r="G114" s="108">
        <v>5</v>
      </c>
    </row>
    <row r="115" spans="4:7">
      <c r="D115" s="106" t="s">
        <v>94</v>
      </c>
      <c r="E115" s="108">
        <v>4</v>
      </c>
      <c r="F115" s="108">
        <v>3</v>
      </c>
      <c r="G115" s="108">
        <v>5</v>
      </c>
    </row>
    <row r="116" spans="4:7">
      <c r="D116" s="107" t="s">
        <v>179</v>
      </c>
      <c r="E116" s="108">
        <v>4</v>
      </c>
      <c r="F116" s="108">
        <v>3</v>
      </c>
      <c r="G116" s="108">
        <v>5</v>
      </c>
    </row>
    <row r="117" spans="4:7">
      <c r="D117" s="106" t="s">
        <v>180</v>
      </c>
      <c r="E117" s="108">
        <v>4</v>
      </c>
      <c r="F117" s="108">
        <v>3</v>
      </c>
      <c r="G117" s="108">
        <v>5</v>
      </c>
    </row>
    <row r="118" spans="4:7">
      <c r="D118" s="107" t="s">
        <v>181</v>
      </c>
      <c r="E118" s="108">
        <v>4</v>
      </c>
      <c r="F118" s="108">
        <v>3</v>
      </c>
      <c r="G118" s="108">
        <v>5</v>
      </c>
    </row>
    <row r="119" spans="4:7">
      <c r="D119" s="106" t="s">
        <v>182</v>
      </c>
      <c r="E119" s="108">
        <v>4</v>
      </c>
      <c r="F119" s="108">
        <v>3</v>
      </c>
      <c r="G119" s="108">
        <v>5</v>
      </c>
    </row>
    <row r="120" spans="4:7">
      <c r="D120" s="107" t="s">
        <v>183</v>
      </c>
      <c r="E120" s="108">
        <v>4</v>
      </c>
      <c r="F120" s="108">
        <v>3</v>
      </c>
      <c r="G120" s="108">
        <v>5</v>
      </c>
    </row>
    <row r="121" spans="4:7">
      <c r="D121" s="106" t="s">
        <v>184</v>
      </c>
      <c r="E121" s="108">
        <v>4</v>
      </c>
      <c r="F121" s="108">
        <v>3</v>
      </c>
      <c r="G121" s="108">
        <v>5</v>
      </c>
    </row>
    <row r="122" spans="4:7">
      <c r="D122" s="107" t="s">
        <v>185</v>
      </c>
      <c r="E122" s="108">
        <v>4</v>
      </c>
      <c r="F122" s="108">
        <v>3</v>
      </c>
      <c r="G122" s="108">
        <v>5</v>
      </c>
    </row>
    <row r="123" spans="4:7">
      <c r="D123" s="106" t="s">
        <v>95</v>
      </c>
      <c r="E123" s="108">
        <v>4</v>
      </c>
      <c r="F123" s="108">
        <v>3</v>
      </c>
      <c r="G123" s="108">
        <v>5</v>
      </c>
    </row>
    <row r="124" spans="4:7">
      <c r="D124" s="106" t="s">
        <v>50</v>
      </c>
      <c r="E124" s="108">
        <v>4</v>
      </c>
      <c r="F124" s="108">
        <v>3</v>
      </c>
      <c r="G124" s="108">
        <v>5</v>
      </c>
    </row>
    <row r="125" spans="4:7">
      <c r="D125" s="107" t="s">
        <v>88</v>
      </c>
      <c r="E125" s="108">
        <v>3</v>
      </c>
      <c r="F125" s="108">
        <v>2</v>
      </c>
      <c r="G125" s="108">
        <v>4</v>
      </c>
    </row>
    <row r="126" spans="4:7">
      <c r="D126" s="106" t="s">
        <v>98</v>
      </c>
      <c r="E126" s="108">
        <v>3</v>
      </c>
      <c r="F126" s="108">
        <v>2</v>
      </c>
      <c r="G126" s="108">
        <v>4</v>
      </c>
    </row>
    <row r="127" spans="4:7">
      <c r="D127" s="107" t="s">
        <v>89</v>
      </c>
      <c r="E127" s="108">
        <v>3</v>
      </c>
      <c r="F127" s="108">
        <v>2</v>
      </c>
      <c r="G127" s="108">
        <v>4</v>
      </c>
    </row>
    <row r="128" spans="4:7">
      <c r="D128" s="106" t="s">
        <v>99</v>
      </c>
      <c r="E128" s="108">
        <v>3</v>
      </c>
      <c r="F128" s="108">
        <v>2</v>
      </c>
      <c r="G128" s="108">
        <v>4</v>
      </c>
    </row>
    <row r="129" spans="4:7">
      <c r="D129" s="107" t="s">
        <v>91</v>
      </c>
      <c r="E129" s="108">
        <v>3</v>
      </c>
      <c r="F129" s="108">
        <v>2</v>
      </c>
      <c r="G129" s="108">
        <v>4</v>
      </c>
    </row>
    <row r="130" spans="4:7">
      <c r="D130" s="106" t="s">
        <v>100</v>
      </c>
      <c r="E130" s="108">
        <v>3</v>
      </c>
      <c r="F130" s="108">
        <v>2</v>
      </c>
      <c r="G130" s="108">
        <v>4</v>
      </c>
    </row>
    <row r="131" spans="4:7">
      <c r="D131" s="106" t="s">
        <v>59</v>
      </c>
      <c r="E131" s="108">
        <v>4</v>
      </c>
      <c r="F131" s="108">
        <v>3</v>
      </c>
      <c r="G131" s="108">
        <v>5</v>
      </c>
    </row>
    <row r="132" spans="4:7">
      <c r="D132" s="106" t="s">
        <v>60</v>
      </c>
      <c r="E132" s="108">
        <v>4</v>
      </c>
      <c r="F132" s="108">
        <v>3</v>
      </c>
      <c r="G132" s="108">
        <v>5</v>
      </c>
    </row>
    <row r="133" spans="4:7">
      <c r="D133" s="106" t="s">
        <v>33</v>
      </c>
      <c r="E133" s="108">
        <v>4</v>
      </c>
      <c r="F133" s="108">
        <v>3</v>
      </c>
      <c r="G133" s="108">
        <v>5</v>
      </c>
    </row>
    <row r="134" spans="4:7">
      <c r="D134" s="106" t="s">
        <v>61</v>
      </c>
      <c r="E134" s="108">
        <v>4</v>
      </c>
      <c r="F134" s="108">
        <v>3</v>
      </c>
      <c r="G134" s="108">
        <v>5</v>
      </c>
    </row>
    <row r="135" spans="4:7">
      <c r="D135" s="106" t="s">
        <v>62</v>
      </c>
      <c r="E135" s="108">
        <v>4</v>
      </c>
      <c r="F135" s="108">
        <v>3</v>
      </c>
      <c r="G135" s="108">
        <v>5</v>
      </c>
    </row>
    <row r="136" spans="4:7">
      <c r="D136" s="106" t="s">
        <v>37</v>
      </c>
      <c r="E136" s="108">
        <v>4</v>
      </c>
      <c r="F136" s="108">
        <v>3</v>
      </c>
      <c r="G136" s="108">
        <v>5</v>
      </c>
    </row>
    <row r="137" spans="4:7">
      <c r="D137" s="106" t="s">
        <v>63</v>
      </c>
      <c r="E137" s="108">
        <v>4</v>
      </c>
      <c r="F137" s="108">
        <v>3</v>
      </c>
      <c r="G137" s="108">
        <v>5</v>
      </c>
    </row>
    <row r="138" spans="4:7">
      <c r="D138" s="106" t="s">
        <v>64</v>
      </c>
      <c r="E138" s="108">
        <v>4</v>
      </c>
      <c r="F138" s="108">
        <v>3</v>
      </c>
      <c r="G138" s="108">
        <v>5</v>
      </c>
    </row>
    <row r="139" spans="4:7">
      <c r="D139" s="106" t="s">
        <v>42</v>
      </c>
      <c r="E139" s="108">
        <v>4</v>
      </c>
      <c r="F139" s="108">
        <v>3</v>
      </c>
      <c r="G139" s="108">
        <v>5</v>
      </c>
    </row>
    <row r="140" spans="4:7">
      <c r="D140" s="106" t="s">
        <v>66</v>
      </c>
      <c r="E140" s="108">
        <v>4</v>
      </c>
      <c r="F140" s="108">
        <v>3</v>
      </c>
      <c r="G140" s="108">
        <v>5</v>
      </c>
    </row>
    <row r="141" spans="4:7">
      <c r="D141" s="106" t="s">
        <v>162</v>
      </c>
      <c r="E141" s="108">
        <v>4</v>
      </c>
      <c r="F141" s="108">
        <v>3</v>
      </c>
      <c r="G141" s="108">
        <v>5</v>
      </c>
    </row>
    <row r="142" spans="4:7">
      <c r="D142" s="106" t="s">
        <v>163</v>
      </c>
      <c r="E142" s="108">
        <v>4</v>
      </c>
      <c r="F142" s="108">
        <v>3</v>
      </c>
      <c r="G142" s="108">
        <v>5</v>
      </c>
    </row>
    <row r="143" spans="4:7">
      <c r="D143" s="106" t="s">
        <v>164</v>
      </c>
      <c r="E143" s="108">
        <v>4</v>
      </c>
      <c r="F143" s="108">
        <v>3</v>
      </c>
      <c r="G143" s="108">
        <v>5</v>
      </c>
    </row>
    <row r="144" spans="4:7">
      <c r="D144" s="106" t="s">
        <v>165</v>
      </c>
      <c r="E144" s="108">
        <v>4</v>
      </c>
      <c r="F144" s="108">
        <v>3</v>
      </c>
      <c r="G144" s="108">
        <v>5</v>
      </c>
    </row>
    <row r="145" spans="4:7">
      <c r="D145" s="106" t="s">
        <v>166</v>
      </c>
      <c r="E145" s="108">
        <v>4</v>
      </c>
      <c r="F145" s="108">
        <v>3</v>
      </c>
      <c r="G145" s="108">
        <v>5</v>
      </c>
    </row>
    <row r="146" spans="4:7">
      <c r="D146" s="106" t="s">
        <v>167</v>
      </c>
      <c r="E146" s="108">
        <v>4</v>
      </c>
      <c r="F146" s="108">
        <v>3</v>
      </c>
      <c r="G146" s="108">
        <v>5</v>
      </c>
    </row>
    <row r="147" spans="4:7">
      <c r="D147" s="106" t="s">
        <v>168</v>
      </c>
      <c r="E147" s="108">
        <v>4</v>
      </c>
      <c r="F147" s="108">
        <v>3</v>
      </c>
      <c r="G147" s="108">
        <v>5</v>
      </c>
    </row>
    <row r="148" spans="4:7">
      <c r="D148" s="106" t="s">
        <v>169</v>
      </c>
      <c r="E148" s="108">
        <v>4</v>
      </c>
      <c r="F148" s="108">
        <v>3</v>
      </c>
      <c r="G148" s="108">
        <v>5</v>
      </c>
    </row>
    <row r="149" spans="4:7">
      <c r="D149" s="106" t="s">
        <v>170</v>
      </c>
      <c r="E149" s="108">
        <v>3</v>
      </c>
      <c r="F149" s="108">
        <v>2</v>
      </c>
      <c r="G149" s="108">
        <v>4</v>
      </c>
    </row>
    <row r="150" spans="4:7">
      <c r="D150" s="106" t="s">
        <v>171</v>
      </c>
      <c r="E150" s="108">
        <v>3</v>
      </c>
      <c r="F150" s="108">
        <v>2</v>
      </c>
      <c r="G150" s="108">
        <v>4</v>
      </c>
    </row>
    <row r="151" spans="4:7">
      <c r="D151" s="106" t="s">
        <v>71</v>
      </c>
      <c r="E151" s="108">
        <v>3</v>
      </c>
      <c r="F151" s="108">
        <v>2</v>
      </c>
      <c r="G151" s="108">
        <v>4</v>
      </c>
    </row>
    <row r="152" spans="4:7">
      <c r="D152" s="106" t="s">
        <v>47</v>
      </c>
      <c r="E152" s="108">
        <v>3</v>
      </c>
      <c r="F152" s="108">
        <v>2</v>
      </c>
      <c r="G152" s="108">
        <v>4</v>
      </c>
    </row>
    <row r="153" spans="4:7">
      <c r="D153" s="106" t="s">
        <v>74</v>
      </c>
      <c r="E153" s="108">
        <v>4</v>
      </c>
      <c r="F153" s="108">
        <v>3</v>
      </c>
      <c r="G153" s="108">
        <v>5</v>
      </c>
    </row>
    <row r="154" spans="4:7">
      <c r="D154" s="106" t="s">
        <v>75</v>
      </c>
      <c r="E154" s="108">
        <v>4</v>
      </c>
      <c r="F154" s="108">
        <v>3</v>
      </c>
      <c r="G154" s="108">
        <v>5</v>
      </c>
    </row>
    <row r="155" spans="4:7">
      <c r="D155" s="106" t="s">
        <v>111</v>
      </c>
      <c r="E155" s="109">
        <v>2</v>
      </c>
      <c r="F155" s="109">
        <v>1</v>
      </c>
      <c r="G155" s="109">
        <v>2</v>
      </c>
    </row>
    <row r="156" spans="4:7">
      <c r="D156" s="106" t="s">
        <v>172</v>
      </c>
      <c r="E156" s="108">
        <v>4</v>
      </c>
      <c r="F156" s="108">
        <v>3</v>
      </c>
      <c r="G156" s="108">
        <v>5</v>
      </c>
    </row>
    <row r="157" spans="4:7">
      <c r="D157" s="106" t="s">
        <v>173</v>
      </c>
      <c r="E157" s="108">
        <v>4</v>
      </c>
      <c r="F157" s="108">
        <v>3</v>
      </c>
      <c r="G157" s="108">
        <v>5</v>
      </c>
    </row>
    <row r="158" spans="4:7">
      <c r="D158" s="106" t="s">
        <v>174</v>
      </c>
      <c r="E158" s="108">
        <v>4</v>
      </c>
      <c r="F158" s="108">
        <v>3</v>
      </c>
      <c r="G158" s="108">
        <v>5</v>
      </c>
    </row>
    <row r="159" spans="4:7">
      <c r="D159" s="106" t="s">
        <v>175</v>
      </c>
      <c r="E159" s="108">
        <v>4</v>
      </c>
      <c r="F159" s="108">
        <v>3</v>
      </c>
      <c r="G159" s="108">
        <v>5</v>
      </c>
    </row>
    <row r="160" spans="4:7">
      <c r="D160" s="106" t="s">
        <v>176</v>
      </c>
      <c r="E160" s="108">
        <v>4</v>
      </c>
      <c r="F160" s="108">
        <v>3</v>
      </c>
      <c r="G160" s="108">
        <v>5</v>
      </c>
    </row>
    <row r="161" spans="4:7">
      <c r="D161" s="106" t="s">
        <v>177</v>
      </c>
      <c r="E161" s="108">
        <v>4</v>
      </c>
      <c r="F161" s="108">
        <v>3</v>
      </c>
      <c r="G161" s="108">
        <v>5</v>
      </c>
    </row>
    <row r="162" spans="4:7">
      <c r="D162" s="106" t="s">
        <v>86</v>
      </c>
      <c r="E162" s="108">
        <v>4</v>
      </c>
      <c r="F162" s="108">
        <v>3</v>
      </c>
      <c r="G162" s="108">
        <v>5</v>
      </c>
    </row>
    <row r="163" spans="4:7">
      <c r="D163" s="106" t="s">
        <v>96</v>
      </c>
      <c r="E163" s="108">
        <v>4</v>
      </c>
      <c r="F163" s="108">
        <v>3</v>
      </c>
      <c r="G163" s="108">
        <v>5</v>
      </c>
    </row>
    <row r="164" spans="4:7">
      <c r="D164" s="106" t="s">
        <v>87</v>
      </c>
      <c r="E164" s="108">
        <v>4</v>
      </c>
      <c r="F164" s="108">
        <v>3</v>
      </c>
      <c r="G164" s="108">
        <v>5</v>
      </c>
    </row>
    <row r="165" spans="4:7">
      <c r="D165" s="106" t="s">
        <v>97</v>
      </c>
      <c r="E165" s="108">
        <v>4</v>
      </c>
      <c r="F165" s="108">
        <v>3</v>
      </c>
      <c r="G165" s="108">
        <v>5</v>
      </c>
    </row>
    <row r="166" spans="4:7">
      <c r="D166" s="106" t="s">
        <v>51</v>
      </c>
      <c r="E166" s="108">
        <v>4</v>
      </c>
      <c r="F166" s="108">
        <v>3</v>
      </c>
      <c r="G166" s="108">
        <v>5</v>
      </c>
    </row>
    <row r="167" spans="4:7">
      <c r="D167" s="106" t="s">
        <v>90</v>
      </c>
      <c r="E167" s="108">
        <v>3</v>
      </c>
      <c r="F167" s="108">
        <v>2</v>
      </c>
      <c r="G167" s="108">
        <v>4</v>
      </c>
    </row>
    <row r="168" spans="4:7">
      <c r="D168" s="106" t="s">
        <v>178</v>
      </c>
      <c r="E168" s="108">
        <v>3</v>
      </c>
      <c r="F168" s="108">
        <v>2</v>
      </c>
      <c r="G168" s="108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문령 윤</cp:lastModifiedBy>
  <cp:lastPrinted>2025-05-20T01:43:42Z</cp:lastPrinted>
  <dcterms:created xsi:type="dcterms:W3CDTF">2002-10-10T04:04:10Z</dcterms:created>
  <dcterms:modified xsi:type="dcterms:W3CDTF">2026-07-20T01:51:06Z</dcterms:modified>
</cp:coreProperties>
</file>