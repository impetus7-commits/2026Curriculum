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26 교육과정부\교육과정\"/>
    </mc:Choice>
  </mc:AlternateContent>
  <xr:revisionPtr revIDLastSave="0" documentId="13_ncr:1_{3433E428-5858-43C2-B947-D405A9FF11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배당표 작성 요령" sheetId="1" r:id="rId1"/>
    <sheet name="2026입학생" sheetId="2" r:id="rId2"/>
    <sheet name="데이터베이스" sheetId="3" state="hidden" r:id="rId3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3uwu0Gg2vq/ckcRrRGRfbQKdXz+VkWJMEBB8RrMD3Y="/>
    </ext>
  </extLst>
</workbook>
</file>

<file path=xl/calcChain.xml><?xml version="1.0" encoding="utf-8"?>
<calcChain xmlns="http://schemas.openxmlformats.org/spreadsheetml/2006/main">
  <c r="L120" i="2" l="1"/>
  <c r="K120" i="2"/>
  <c r="K122" i="2" s="1"/>
  <c r="J120" i="2"/>
  <c r="I120" i="2"/>
  <c r="I122" i="2" s="1"/>
  <c r="H120" i="2"/>
  <c r="G120" i="2"/>
  <c r="G122" i="2" s="1"/>
  <c r="O122" i="2" s="1"/>
  <c r="O119" i="2"/>
  <c r="P118" i="2"/>
  <c r="O118" i="2"/>
  <c r="H118" i="2"/>
  <c r="G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O36" i="2"/>
  <c r="E36" i="2"/>
  <c r="E35" i="2"/>
  <c r="E34" i="2"/>
  <c r="E33" i="2"/>
  <c r="E32" i="2"/>
  <c r="E31" i="2"/>
  <c r="O30" i="2"/>
  <c r="E30" i="2"/>
  <c r="E29" i="2"/>
  <c r="E28" i="2"/>
  <c r="E27" i="2"/>
  <c r="O26" i="2"/>
  <c r="E26" i="2"/>
  <c r="E25" i="2"/>
  <c r="O24" i="2"/>
  <c r="E24" i="2"/>
  <c r="E23" i="2"/>
  <c r="O22" i="2"/>
  <c r="E22" i="2"/>
  <c r="E21" i="2"/>
  <c r="E20" i="2"/>
  <c r="E19" i="2"/>
  <c r="E18" i="2"/>
  <c r="O17" i="2"/>
  <c r="E17" i="2"/>
  <c r="E16" i="2"/>
  <c r="E15" i="2"/>
  <c r="E14" i="2"/>
  <c r="E13" i="2"/>
  <c r="O12" i="2"/>
  <c r="E12" i="2"/>
  <c r="E11" i="2"/>
  <c r="E10" i="2"/>
  <c r="E9" i="2"/>
  <c r="E8" i="2"/>
  <c r="O7" i="2"/>
  <c r="E7" i="2"/>
  <c r="O1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ID#AAAB1iqiglw
Administrator    (2026-03-10 08:09:12)
수식이 입력되어 있음. 지워진 경우 아래 수식을 활용
=IFERROR(VLOOKUP(D7, 기본학점, 2, FALSE), "")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iUB4jP1+ps9LaW7CP6VZ3NAWnQ=="/>
    </ext>
  </extLst>
</comments>
</file>

<file path=xl/sharedStrings.xml><?xml version="1.0" encoding="utf-8"?>
<sst xmlns="http://schemas.openxmlformats.org/spreadsheetml/2006/main" count="701" uniqueCount="266">
  <si>
    <t>휘경여자고등학교 교육과정 학점 배당표</t>
  </si>
  <si>
    <t>2025학년도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</si>
  <si>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</si>
  <si>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</si>
  <si>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</si>
  <si>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</si>
  <si>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</si>
  <si>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</si>
  <si>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</si>
  <si>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</si>
  <si>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</si>
  <si>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</si>
  <si>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</si>
  <si>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</si>
  <si>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</si>
  <si>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</si>
  <si>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</si>
  <si>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</si>
  <si>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</si>
  <si>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</si>
  <si>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</si>
  <si>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</si>
  <si>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</si>
  <si>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</si>
  <si>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화법과 언어 </t>
  </si>
  <si>
    <t xml:space="preserve">독서와 작문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</si>
  <si>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</si>
  <si>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</si>
  <si>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</si>
  <si>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</si>
  <si>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</si>
  <si>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</si>
  <si>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</si>
  <si>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</si>
  <si>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</si>
  <si>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</si>
  <si>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</si>
  <si>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</si>
  <si>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</si>
  <si>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</si>
  <si>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</si>
  <si>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</si>
  <si>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</si>
  <si>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</si>
  <si>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</si>
  <si>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</si>
  <si>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</si>
  <si>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</si>
  <si>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</si>
  <si>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</si>
  <si>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</si>
  <si>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</si>
  <si>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 xml:space="preserve">스포츠 생활1 </t>
  </si>
  <si>
    <t xml:space="preserve">스포츠 생활2 </t>
  </si>
  <si>
    <t>진로</t>
  </si>
  <si>
    <t>스포츠 과학</t>
  </si>
  <si>
    <t>스포츠 문화</t>
  </si>
  <si>
    <t>예 술</t>
  </si>
  <si>
    <t>음악</t>
  </si>
  <si>
    <t>[2]</t>
  </si>
  <si>
    <t>미술</t>
  </si>
  <si>
    <t xml:space="preserve">2
학년선택 </t>
  </si>
  <si>
    <t xml:space="preserve">주제 탐구 독서 </t>
  </si>
  <si>
    <t>12
(택3)</t>
  </si>
  <si>
    <t>인공지능 수학</t>
  </si>
  <si>
    <t xml:space="preserve">수학과 문화 </t>
  </si>
  <si>
    <t>영미 문학 읽기</t>
  </si>
  <si>
    <t xml:space="preserve">실생활 영어 회화 </t>
  </si>
  <si>
    <t>세계시민과 지리</t>
  </si>
  <si>
    <t>세계사</t>
  </si>
  <si>
    <t>사회와 문화</t>
  </si>
  <si>
    <t>현대사회와 윤리</t>
  </si>
  <si>
    <t>물리학</t>
  </si>
  <si>
    <t>화학</t>
  </si>
  <si>
    <t xml:space="preserve">생명과학 </t>
  </si>
  <si>
    <t>지구과학</t>
  </si>
  <si>
    <t>독서 토론과 글쓰기</t>
  </si>
  <si>
    <t>기하</t>
  </si>
  <si>
    <t>수학과제 탐구</t>
  </si>
  <si>
    <t>영어 발표와 토론</t>
  </si>
  <si>
    <t xml:space="preserve">미디어 영어 </t>
  </si>
  <si>
    <t>한국지리 탐구</t>
  </si>
  <si>
    <t>동아시아 역사 기행</t>
  </si>
  <si>
    <t>정치</t>
  </si>
  <si>
    <t xml:space="preserve">윤리와 사상 </t>
  </si>
  <si>
    <t xml:space="preserve">역학과 에너지 </t>
  </si>
  <si>
    <t xml:space="preserve">물질과 에너지 </t>
  </si>
  <si>
    <t xml:space="preserve">세포와 물질대사 </t>
  </si>
  <si>
    <t>행성우주과학</t>
  </si>
  <si>
    <t>기술∙가정/정보</t>
  </si>
  <si>
    <t>정보</t>
  </si>
  <si>
    <t>4
(택1)</t>
  </si>
  <si>
    <t>제2외국어/한문</t>
  </si>
  <si>
    <t xml:space="preserve">일본어 </t>
  </si>
  <si>
    <t>중국어</t>
  </si>
  <si>
    <t>한문</t>
  </si>
  <si>
    <t xml:space="preserve">3
학년선택 </t>
  </si>
  <si>
    <t>문학과 영상</t>
  </si>
  <si>
    <t>9
(택3)</t>
  </si>
  <si>
    <t>언어생활 탐구</t>
  </si>
  <si>
    <t>미적분Ⅱ</t>
  </si>
  <si>
    <t>경제 수학</t>
  </si>
  <si>
    <t xml:space="preserve">심화 영어 </t>
  </si>
  <si>
    <t>세계 문화와 영어</t>
  </si>
  <si>
    <t xml:space="preserve">도시의 미래 탐구 </t>
  </si>
  <si>
    <t xml:space="preserve">법과 사회 </t>
  </si>
  <si>
    <t>경제</t>
  </si>
  <si>
    <t>인문학과 윤리</t>
  </si>
  <si>
    <t>역사로 탐구하는 현대 세계</t>
  </si>
  <si>
    <t>전자기와 양자</t>
  </si>
  <si>
    <t>화학 반응의 세계</t>
  </si>
  <si>
    <t>생물의 유전</t>
  </si>
  <si>
    <t xml:space="preserve">지구시스템과학 </t>
  </si>
  <si>
    <t xml:space="preserve">운동과 건강 </t>
  </si>
  <si>
    <t>음악 감상과 비평</t>
  </si>
  <si>
    <t>3
(택1)</t>
  </si>
  <si>
    <t>미술 감상과 비평</t>
  </si>
  <si>
    <t xml:space="preserve">인공지능 기초 </t>
  </si>
  <si>
    <t>일본어 회화</t>
  </si>
  <si>
    <t xml:space="preserve">중국어 회화 </t>
  </si>
  <si>
    <t>언어생활과 한자</t>
  </si>
  <si>
    <t>교 양</t>
  </si>
  <si>
    <t xml:space="preserve">교육의 이해 </t>
  </si>
  <si>
    <t xml:space="preserve">논리와 사고 </t>
  </si>
  <si>
    <t>생태와 환경</t>
  </si>
  <si>
    <t xml:space="preserve">매체 의사소통 </t>
  </si>
  <si>
    <t>21
(택7)</t>
  </si>
  <si>
    <t>직무 의사소통</t>
  </si>
  <si>
    <t>실용 통계</t>
  </si>
  <si>
    <t>직무 수학</t>
  </si>
  <si>
    <t xml:space="preserve">심화 영어 독해와 작문 </t>
  </si>
  <si>
    <t>직무 영어</t>
  </si>
  <si>
    <t>여행지리</t>
  </si>
  <si>
    <t>기후변화와 지속가능한 세계</t>
  </si>
  <si>
    <t>사회문제 탐구</t>
  </si>
  <si>
    <t>금융과 경제생활</t>
  </si>
  <si>
    <t>윤리문제 탐구</t>
  </si>
  <si>
    <t>과학의 역사와 문화</t>
  </si>
  <si>
    <t>기후변화와 환경생태</t>
  </si>
  <si>
    <t>융합과학 탐구</t>
  </si>
  <si>
    <t>음악과 미디어</t>
  </si>
  <si>
    <t>미술과 매체</t>
  </si>
  <si>
    <t>일본 문화</t>
  </si>
  <si>
    <t xml:space="preserve">중국 문화 </t>
  </si>
  <si>
    <t>`</t>
  </si>
  <si>
    <t>한문 고전 읽기</t>
  </si>
  <si>
    <t>삶과 종교</t>
  </si>
  <si>
    <t>인간과 철학</t>
  </si>
  <si>
    <t>인간과 심리</t>
  </si>
  <si>
    <t xml:space="preserve">인간과 경제활동 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</si>
  <si>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</si>
  <si>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</si>
  <si>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</si>
  <si>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</si>
  <si>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</si>
  <si>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r>
      <rPr>
        <b/>
        <sz val="10"/>
        <color theme="1"/>
        <rFont val="Malgun Gothic"/>
        <family val="3"/>
        <charset val="129"/>
      </rPr>
      <t>※ 유의사항
- 2학년 기술</t>
    </r>
    <r>
      <rPr>
        <b/>
        <sz val="10"/>
        <color theme="1"/>
        <rFont val="Segoe UI Symbol"/>
        <family val="2"/>
      </rPr>
      <t>⸱</t>
    </r>
    <r>
      <rPr>
        <b/>
        <sz val="10"/>
        <color theme="1"/>
        <rFont val="맑은 고딕"/>
        <family val="3"/>
        <charset val="129"/>
      </rPr>
      <t>가정/정보/제2외국어/한문/교양 교과군의 과목을 1, 2학기 동일하게 선택할 수 없음.
- 3학년 체육 교과군의 운동과 건강 과목을 1, 2학기 동일하게 선택할 수 없음.
- 국어/수학/영어 교과군 과목은 3개년간 81학점을 초과할 수 없음.(2~3학년에서 21학점 이내로 선택)
- 과학중점 과정 학생은 수학, 과학, 정보 교과군 과목을 79학점 이상 이수하여야 함. 
- 과학중점 과정 학생은 2,3학년 선택에서 수학교과 1과목 이상, 정보교과 4학점 또는 2과목 반드시 선택해야 함.
- 희망자에 한해 2학년 에서 공유캠퍼스 과목을 추가신청 할 수 있음. (본교는 생명과학실험, 화학실험 예정)</t>
    </r>
  </si>
  <si>
    <t>입력용 
교과(군)</t>
  </si>
  <si>
    <t>목록이름</t>
  </si>
  <si>
    <t>과목유형</t>
  </si>
  <si>
    <t>국어공통</t>
  </si>
  <si>
    <t>국어일반</t>
  </si>
  <si>
    <t>국어진로</t>
  </si>
  <si>
    <t>국어융합</t>
  </si>
  <si>
    <t>수학공통</t>
  </si>
  <si>
    <t>수학일반</t>
  </si>
  <si>
    <t>수학진로</t>
  </si>
  <si>
    <t>수학융합</t>
  </si>
  <si>
    <t>영어공통</t>
  </si>
  <si>
    <t>영어일반</t>
  </si>
  <si>
    <t>영어진로</t>
  </si>
  <si>
    <t>영어융합</t>
  </si>
  <si>
    <t>사회공통</t>
  </si>
  <si>
    <t>사회일반</t>
  </si>
  <si>
    <t>사회진로</t>
  </si>
  <si>
    <t>사회융합</t>
  </si>
  <si>
    <t>과학공통</t>
  </si>
  <si>
    <t>과학일반</t>
  </si>
  <si>
    <t>과학진로</t>
  </si>
  <si>
    <t>과학융합</t>
  </si>
  <si>
    <t>체육일반</t>
  </si>
  <si>
    <t>체육진로</t>
  </si>
  <si>
    <t>체육융합</t>
  </si>
  <si>
    <t>예술일반</t>
  </si>
  <si>
    <t>예술진로</t>
  </si>
  <si>
    <t>예술융합</t>
  </si>
  <si>
    <t>기가정일반</t>
  </si>
  <si>
    <t>기가정진로</t>
  </si>
  <si>
    <t>기가정융합</t>
  </si>
  <si>
    <t>외한일반</t>
  </si>
  <si>
    <t>외한진로</t>
  </si>
  <si>
    <t>외한융합</t>
  </si>
  <si>
    <t>교양일반</t>
  </si>
  <si>
    <t>교양진로</t>
  </si>
  <si>
    <t>교양융합</t>
  </si>
  <si>
    <t>국어</t>
  </si>
  <si>
    <t>음악 연주와 창작</t>
  </si>
  <si>
    <t>기술∙가정</t>
  </si>
  <si>
    <t>로봇과 공학세계</t>
  </si>
  <si>
    <t>창의 공학 설계</t>
  </si>
  <si>
    <t xml:space="preserve">독일어 </t>
  </si>
  <si>
    <t>독일어 회화</t>
  </si>
  <si>
    <t>독일어권 문화</t>
  </si>
  <si>
    <t xml:space="preserve">진로와 직업 </t>
  </si>
  <si>
    <t>수학</t>
  </si>
  <si>
    <t>생활과학 탐구</t>
  </si>
  <si>
    <t>지식 재산 일반</t>
  </si>
  <si>
    <t>프랑스어</t>
  </si>
  <si>
    <t xml:space="preserve">프랑스어 회화 </t>
  </si>
  <si>
    <t>프랑스어권 문화</t>
  </si>
  <si>
    <t>논술</t>
  </si>
  <si>
    <t>영어</t>
  </si>
  <si>
    <t>기본수학1</t>
  </si>
  <si>
    <t>기본영어1</t>
  </si>
  <si>
    <t>연극</t>
  </si>
  <si>
    <t xml:space="preserve">미술 창작 </t>
  </si>
  <si>
    <t xml:space="preserve">생애 설계와 자립 </t>
  </si>
  <si>
    <t>스페인어</t>
  </si>
  <si>
    <t>스페인어 회화</t>
  </si>
  <si>
    <t>스페인어권 문화</t>
  </si>
  <si>
    <t>사회</t>
  </si>
  <si>
    <t>기본수학2</t>
  </si>
  <si>
    <t>기본영어2</t>
  </si>
  <si>
    <t>데이터 과학</t>
  </si>
  <si>
    <t>아동발달과 부모</t>
  </si>
  <si>
    <t>과학</t>
  </si>
  <si>
    <t>소프트웨어와 생활</t>
  </si>
  <si>
    <t>체육</t>
  </si>
  <si>
    <t>과목유형2</t>
  </si>
  <si>
    <t>러시아어</t>
  </si>
  <si>
    <t xml:space="preserve">러시아어 회화 </t>
  </si>
  <si>
    <t xml:space="preserve">러시아 문화 </t>
  </si>
  <si>
    <t>보건</t>
  </si>
  <si>
    <t>예술</t>
  </si>
  <si>
    <t>아랍어</t>
  </si>
  <si>
    <t>아랍어 회화</t>
  </si>
  <si>
    <t>아랍 문화</t>
  </si>
  <si>
    <t>기가정</t>
  </si>
  <si>
    <t>베트남어</t>
  </si>
  <si>
    <t>베트남어 회화</t>
  </si>
  <si>
    <t>베트남 문화</t>
  </si>
  <si>
    <t>외한</t>
  </si>
  <si>
    <t>국제 관계의 이해</t>
  </si>
  <si>
    <t>심화 독일어</t>
  </si>
  <si>
    <t>교양</t>
  </si>
  <si>
    <t xml:space="preserve">심화 프랑스어 </t>
  </si>
  <si>
    <t>심화 스페인어</t>
  </si>
  <si>
    <t>과목명</t>
  </si>
  <si>
    <t>기본학점</t>
  </si>
  <si>
    <t>허용하한</t>
  </si>
  <si>
    <t>허용상한</t>
  </si>
  <si>
    <t xml:space="preserve">심화 중국어 </t>
  </si>
  <si>
    <t>특목고 선택 과목</t>
  </si>
  <si>
    <t>공유캠퍼스</t>
  </si>
  <si>
    <t>심화 일본어</t>
  </si>
  <si>
    <t>전문 교과</t>
  </si>
  <si>
    <t>온라인학교</t>
  </si>
  <si>
    <t xml:space="preserve">심화 러시아어 </t>
  </si>
  <si>
    <t>교육감 승인 과목</t>
  </si>
  <si>
    <t>학교 밖 교육</t>
  </si>
  <si>
    <t>심화 아랍어</t>
  </si>
  <si>
    <t>교육감 승인 과목(특목고)</t>
  </si>
  <si>
    <t>심화 베트남어</t>
  </si>
  <si>
    <t>교육감 승인 과목(전문)</t>
  </si>
  <si>
    <t>타 시·도 교육감 승인 과목</t>
  </si>
  <si>
    <t>타 시·도 교육감 승인 과목(특목고)</t>
  </si>
  <si>
    <t>타 시·도 교육감 승인 과목(전문)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</si>
</sst>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  <scheme val="minor"/>
    </font>
    <font>
      <b/>
      <sz val="18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Dotum"/>
    </font>
    <font>
      <sz val="10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i/>
      <sz val="10"/>
      <color rgb="FFFF0000"/>
      <name val="Malgun Gothic"/>
      <family val="3"/>
      <charset val="129"/>
    </font>
    <font>
      <b/>
      <sz val="11"/>
      <color theme="1"/>
      <name val="Dotum"/>
    </font>
    <font>
      <sz val="10"/>
      <color theme="1"/>
      <name val="Dotum"/>
    </font>
    <font>
      <sz val="10"/>
      <color rgb="FF000000"/>
      <name val="Dotum"/>
    </font>
    <font>
      <sz val="10"/>
      <color rgb="FFFF0000"/>
      <name val="Dotum"/>
    </font>
    <font>
      <b/>
      <sz val="10"/>
      <color theme="1"/>
      <name val="Segoe UI Symbol"/>
      <family val="2"/>
    </font>
    <font>
      <b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4FBCD"/>
        <bgColor rgb="FFF4FBCD"/>
      </patternFill>
    </fill>
    <fill>
      <patternFill patternType="solid">
        <fgColor rgb="FFE5DFEC"/>
        <bgColor rgb="FFE5DFEC"/>
      </patternFill>
    </fill>
    <fill>
      <patternFill patternType="solid">
        <fgColor rgb="FFFABF8F"/>
        <bgColor rgb="FFFABF8F"/>
      </patternFill>
    </fill>
  </fills>
  <borders count="14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A5A5A5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A5A5A5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shrinkToFi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shrinkToFit="1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shrinkToFi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shrinkToFit="1"/>
    </xf>
    <xf numFmtId="49" fontId="6" fillId="0" borderId="48" xfId="0" applyNumberFormat="1" applyFont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shrinkToFit="1"/>
    </xf>
    <xf numFmtId="0" fontId="6" fillId="3" borderId="51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shrinkToFit="1"/>
    </xf>
    <xf numFmtId="49" fontId="6" fillId="0" borderId="55" xfId="0" applyNumberFormat="1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shrinkToFit="1"/>
    </xf>
    <xf numFmtId="0" fontId="6" fillId="3" borderId="62" xfId="0" applyFont="1" applyFill="1" applyBorder="1" applyAlignment="1">
      <alignment horizontal="center" vertical="center" wrapText="1"/>
    </xf>
    <xf numFmtId="0" fontId="6" fillId="3" borderId="63" xfId="0" applyFont="1" applyFill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0" fontId="6" fillId="3" borderId="65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49" fontId="6" fillId="0" borderId="69" xfId="0" applyNumberFormat="1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shrinkToFit="1"/>
    </xf>
    <xf numFmtId="0" fontId="6" fillId="3" borderId="70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shrinkToFit="1"/>
    </xf>
    <xf numFmtId="49" fontId="6" fillId="0" borderId="34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shrinkToFit="1"/>
    </xf>
    <xf numFmtId="0" fontId="6" fillId="0" borderId="51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49" fontId="6" fillId="0" borderId="68" xfId="0" applyNumberFormat="1" applyFont="1" applyBorder="1" applyAlignment="1">
      <alignment horizontal="center" vertical="center" wrapText="1"/>
    </xf>
    <xf numFmtId="49" fontId="6" fillId="0" borderId="75" xfId="0" applyNumberFormat="1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center" vertical="center" shrinkToFit="1"/>
    </xf>
    <xf numFmtId="0" fontId="6" fillId="0" borderId="78" xfId="0" applyFont="1" applyBorder="1" applyAlignment="1">
      <alignment horizontal="center" vertical="center" shrinkToFit="1"/>
    </xf>
    <xf numFmtId="0" fontId="6" fillId="3" borderId="78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shrinkToFit="1"/>
    </xf>
    <xf numFmtId="49" fontId="6" fillId="0" borderId="5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 shrinkToFit="1"/>
    </xf>
    <xf numFmtId="0" fontId="6" fillId="3" borderId="90" xfId="0" applyFont="1" applyFill="1" applyBorder="1" applyAlignment="1">
      <alignment horizontal="center" vertical="center" wrapText="1"/>
    </xf>
    <xf numFmtId="0" fontId="6" fillId="3" borderId="91" xfId="0" applyFont="1" applyFill="1" applyBorder="1" applyAlignment="1">
      <alignment horizontal="center" vertical="center" wrapText="1"/>
    </xf>
    <xf numFmtId="0" fontId="6" fillId="3" borderId="92" xfId="0" applyFont="1" applyFill="1" applyBorder="1" applyAlignment="1">
      <alignment horizontal="center" vertical="center" wrapText="1"/>
    </xf>
    <xf numFmtId="0" fontId="6" fillId="3" borderId="93" xfId="0" applyFont="1" applyFill="1" applyBorder="1" applyAlignment="1">
      <alignment horizontal="center" vertical="center" wrapText="1"/>
    </xf>
    <xf numFmtId="0" fontId="6" fillId="0" borderId="94" xfId="0" applyFont="1" applyBorder="1" applyAlignment="1">
      <alignment horizontal="center" vertical="center" wrapText="1"/>
    </xf>
    <xf numFmtId="0" fontId="6" fillId="0" borderId="95" xfId="0" applyFont="1" applyBorder="1" applyAlignment="1">
      <alignment horizontal="center" vertical="center" wrapText="1"/>
    </xf>
    <xf numFmtId="49" fontId="6" fillId="0" borderId="85" xfId="0" applyNumberFormat="1" applyFont="1" applyBorder="1" applyAlignment="1">
      <alignment horizontal="center" vertical="center" shrinkToFit="1"/>
    </xf>
    <xf numFmtId="49" fontId="6" fillId="0" borderId="66" xfId="0" applyNumberFormat="1" applyFont="1" applyBorder="1" applyAlignment="1">
      <alignment horizontal="center" vertical="center" wrapText="1"/>
    </xf>
    <xf numFmtId="0" fontId="6" fillId="3" borderId="96" xfId="0" applyFont="1" applyFill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 wrapText="1"/>
    </xf>
    <xf numFmtId="0" fontId="6" fillId="3" borderId="100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 wrapText="1"/>
    </xf>
    <xf numFmtId="0" fontId="6" fillId="0" borderId="10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49" fontId="6" fillId="0" borderId="105" xfId="0" applyNumberFormat="1" applyFont="1" applyBorder="1" applyAlignment="1">
      <alignment horizontal="center" vertical="center" wrapText="1"/>
    </xf>
    <xf numFmtId="0" fontId="6" fillId="3" borderId="108" xfId="0" applyFont="1" applyFill="1" applyBorder="1" applyAlignment="1">
      <alignment horizontal="center" vertical="center" wrapText="1"/>
    </xf>
    <xf numFmtId="0" fontId="6" fillId="0" borderId="110" xfId="0" applyFont="1" applyBorder="1" applyAlignment="1">
      <alignment horizontal="center" vertical="center" wrapText="1"/>
    </xf>
    <xf numFmtId="0" fontId="6" fillId="0" borderId="111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shrinkToFit="1"/>
    </xf>
    <xf numFmtId="0" fontId="9" fillId="0" borderId="0" xfId="0" applyFont="1"/>
    <xf numFmtId="49" fontId="6" fillId="0" borderId="97" xfId="0" applyNumberFormat="1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shrinkToFit="1"/>
    </xf>
    <xf numFmtId="0" fontId="6" fillId="3" borderId="97" xfId="0" applyFont="1" applyFill="1" applyBorder="1" applyAlignment="1">
      <alignment horizontal="center" vertical="center" wrapText="1"/>
    </xf>
    <xf numFmtId="0" fontId="6" fillId="3" borderId="112" xfId="0" applyFont="1" applyFill="1" applyBorder="1" applyAlignment="1">
      <alignment horizontal="center" vertical="center" wrapText="1"/>
    </xf>
    <xf numFmtId="0" fontId="6" fillId="0" borderId="113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shrinkToFit="1"/>
    </xf>
    <xf numFmtId="0" fontId="6" fillId="0" borderId="115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6" fillId="0" borderId="118" xfId="0" applyFont="1" applyBorder="1" applyAlignment="1">
      <alignment horizontal="center" vertical="center" wrapText="1"/>
    </xf>
    <xf numFmtId="0" fontId="6" fillId="0" borderId="119" xfId="0" applyFont="1" applyBorder="1" applyAlignment="1">
      <alignment horizontal="center" vertical="center" wrapText="1"/>
    </xf>
    <xf numFmtId="0" fontId="6" fillId="0" borderId="120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4" fillId="0" borderId="115" xfId="0" applyFont="1" applyBorder="1"/>
    <xf numFmtId="0" fontId="6" fillId="0" borderId="12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5" xfId="0" applyFont="1" applyBorder="1" applyAlignment="1">
      <alignment horizontal="center" vertical="center" wrapText="1"/>
    </xf>
    <xf numFmtId="0" fontId="6" fillId="0" borderId="126" xfId="0" applyFont="1" applyBorder="1" applyAlignment="1">
      <alignment horizontal="center" vertical="center" wrapText="1"/>
    </xf>
    <xf numFmtId="0" fontId="6" fillId="0" borderId="127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7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13" fillId="6" borderId="78" xfId="0" applyFont="1" applyFill="1" applyBorder="1" applyAlignment="1">
      <alignment horizontal="center" vertical="center" shrinkToFit="1"/>
    </xf>
    <xf numFmtId="0" fontId="13" fillId="7" borderId="78" xfId="0" applyFont="1" applyFill="1" applyBorder="1" applyAlignment="1">
      <alignment horizontal="center" vertical="center" shrinkToFit="1"/>
    </xf>
    <xf numFmtId="0" fontId="13" fillId="8" borderId="78" xfId="0" applyFont="1" applyFill="1" applyBorder="1" applyAlignment="1">
      <alignment horizontal="center" vertical="center" shrinkToFit="1"/>
    </xf>
    <xf numFmtId="49" fontId="14" fillId="8" borderId="78" xfId="0" applyNumberFormat="1" applyFont="1" applyFill="1" applyBorder="1" applyAlignment="1">
      <alignment horizontal="center" vertical="center" shrinkToFit="1"/>
    </xf>
    <xf numFmtId="49" fontId="13" fillId="8" borderId="78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0" fontId="13" fillId="0" borderId="0" xfId="0" applyFont="1" applyAlignment="1">
      <alignment horizontal="center" vertical="center" shrinkToFit="1"/>
    </xf>
    <xf numFmtId="49" fontId="14" fillId="3" borderId="78" xfId="0" applyNumberFormat="1" applyFont="1" applyFill="1" applyBorder="1" applyAlignment="1">
      <alignment horizontal="center" vertical="center" shrinkToFit="1"/>
    </xf>
    <xf numFmtId="49" fontId="13" fillId="3" borderId="78" xfId="0" applyNumberFormat="1" applyFont="1" applyFill="1" applyBorder="1" applyAlignment="1">
      <alignment horizontal="center" vertical="center" shrinkToFit="1"/>
    </xf>
    <xf numFmtId="0" fontId="13" fillId="9" borderId="78" xfId="0" applyFont="1" applyFill="1" applyBorder="1" applyAlignment="1">
      <alignment horizontal="center" vertical="center" shrinkToFit="1"/>
    </xf>
    <xf numFmtId="0" fontId="13" fillId="10" borderId="78" xfId="0" applyFont="1" applyFill="1" applyBorder="1" applyAlignment="1">
      <alignment horizontal="center" vertical="center" shrinkToFit="1"/>
    </xf>
    <xf numFmtId="0" fontId="13" fillId="10" borderId="140" xfId="0" applyFont="1" applyFill="1" applyBorder="1" applyAlignment="1">
      <alignment horizontal="center" vertical="center" shrinkToFit="1"/>
    </xf>
    <xf numFmtId="49" fontId="14" fillId="9" borderId="78" xfId="0" applyNumberFormat="1" applyFont="1" applyFill="1" applyBorder="1" applyAlignment="1">
      <alignment horizontal="center" vertical="center" shrinkToFit="1"/>
    </xf>
    <xf numFmtId="0" fontId="13" fillId="3" borderId="140" xfId="0" applyFont="1" applyFill="1" applyBorder="1" applyAlignment="1">
      <alignment horizontal="center" vertical="center" shrinkToFit="1"/>
    </xf>
    <xf numFmtId="0" fontId="13" fillId="3" borderId="79" xfId="0" applyFont="1" applyFill="1" applyBorder="1" applyAlignment="1">
      <alignment horizontal="center" vertical="center" shrinkToFit="1"/>
    </xf>
    <xf numFmtId="49" fontId="13" fillId="9" borderId="78" xfId="0" applyNumberFormat="1" applyFont="1" applyFill="1" applyBorder="1" applyAlignment="1">
      <alignment horizontal="center" vertical="center" shrinkToFit="1"/>
    </xf>
    <xf numFmtId="0" fontId="15" fillId="9" borderId="78" xfId="0" applyFont="1" applyFill="1" applyBorder="1" applyAlignment="1">
      <alignment horizontal="center" vertical="center" shrinkToFit="1"/>
    </xf>
    <xf numFmtId="0" fontId="6" fillId="0" borderId="60" xfId="0" applyFont="1" applyBorder="1" applyAlignment="1">
      <alignment horizontal="center" vertical="center" wrapText="1"/>
    </xf>
    <xf numFmtId="0" fontId="3" fillId="0" borderId="56" xfId="0" applyFont="1" applyBorder="1"/>
    <xf numFmtId="0" fontId="3" fillId="0" borderId="66" xfId="0" applyFont="1" applyBorder="1"/>
    <xf numFmtId="0" fontId="7" fillId="2" borderId="7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21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8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15" xfId="0" applyFont="1" applyBorder="1"/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3" fillId="0" borderId="99" xfId="0" applyFont="1" applyBorder="1"/>
    <xf numFmtId="0" fontId="3" fillId="0" borderId="22" xfId="0" applyFont="1" applyBorder="1"/>
    <xf numFmtId="0" fontId="3" fillId="0" borderId="67" xfId="0" applyFont="1" applyBorder="1"/>
    <xf numFmtId="0" fontId="6" fillId="0" borderId="4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87" xfId="0" applyFont="1" applyBorder="1"/>
    <xf numFmtId="0" fontId="7" fillId="0" borderId="2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6" xfId="0" applyFont="1" applyBorder="1"/>
    <xf numFmtId="0" fontId="3" fillId="0" borderId="17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132" xfId="0" applyFont="1" applyBorder="1" applyAlignment="1">
      <alignment horizontal="center" vertical="center" wrapText="1"/>
    </xf>
    <xf numFmtId="0" fontId="3" fillId="0" borderId="131" xfId="0" applyFont="1" applyBorder="1"/>
    <xf numFmtId="0" fontId="3" fillId="0" borderId="133" xfId="0" applyFont="1" applyBorder="1"/>
    <xf numFmtId="0" fontId="6" fillId="0" borderId="106" xfId="0" applyFont="1" applyBorder="1" applyAlignment="1">
      <alignment horizontal="center" vertical="center" wrapText="1"/>
    </xf>
    <xf numFmtId="0" fontId="3" fillId="0" borderId="81" xfId="0" applyFont="1" applyBorder="1"/>
    <xf numFmtId="0" fontId="3" fillId="0" borderId="107" xfId="0" applyFont="1" applyBorder="1"/>
    <xf numFmtId="0" fontId="6" fillId="0" borderId="109" xfId="0" applyFont="1" applyBorder="1" applyAlignment="1">
      <alignment horizontal="center" vertical="center" wrapText="1"/>
    </xf>
    <xf numFmtId="0" fontId="3" fillId="0" borderId="114" xfId="0" applyFont="1" applyBorder="1"/>
    <xf numFmtId="0" fontId="6" fillId="0" borderId="127" xfId="0" applyFont="1" applyBorder="1" applyAlignment="1">
      <alignment horizontal="center" vertical="center" wrapText="1"/>
    </xf>
    <xf numFmtId="0" fontId="3" fillId="0" borderId="128" xfId="0" applyFont="1" applyBorder="1"/>
    <xf numFmtId="0" fontId="6" fillId="5" borderId="12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center" vertical="center" wrapText="1"/>
    </xf>
    <xf numFmtId="0" fontId="3" fillId="0" borderId="74" xfId="0" applyFont="1" applyBorder="1"/>
    <xf numFmtId="0" fontId="3" fillId="0" borderId="77" xfId="0" applyFont="1" applyBorder="1"/>
    <xf numFmtId="0" fontId="6" fillId="3" borderId="80" xfId="0" applyFont="1" applyFill="1" applyBorder="1" applyAlignment="1">
      <alignment horizontal="center" vertical="center" wrapText="1"/>
    </xf>
    <xf numFmtId="0" fontId="3" fillId="0" borderId="85" xfId="0" applyFont="1" applyBorder="1"/>
    <xf numFmtId="0" fontId="6" fillId="3" borderId="68" xfId="0" applyFont="1" applyFill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6" fillId="0" borderId="129" xfId="0" applyFont="1" applyBorder="1" applyAlignment="1">
      <alignment horizontal="center" vertical="center" wrapText="1"/>
    </xf>
    <xf numFmtId="0" fontId="3" fillId="0" borderId="130" xfId="0" applyFont="1" applyBorder="1"/>
    <xf numFmtId="0" fontId="7" fillId="2" borderId="134" xfId="0" applyFont="1" applyFill="1" applyBorder="1" applyAlignment="1">
      <alignment horizontal="left" vertical="top" wrapText="1"/>
    </xf>
    <xf numFmtId="0" fontId="3" fillId="0" borderId="135" xfId="0" applyFont="1" applyBorder="1"/>
    <xf numFmtId="0" fontId="3" fillId="0" borderId="136" xfId="0" applyFont="1" applyBorder="1"/>
    <xf numFmtId="0" fontId="3" fillId="0" borderId="115" xfId="0" applyFont="1" applyBorder="1"/>
    <xf numFmtId="0" fontId="3" fillId="0" borderId="137" xfId="0" applyFont="1" applyBorder="1"/>
    <xf numFmtId="0" fontId="3" fillId="0" borderId="138" xfId="0" applyFont="1" applyBorder="1"/>
    <xf numFmtId="0" fontId="3" fillId="0" borderId="139" xfId="0" applyFont="1" applyBorder="1"/>
    <xf numFmtId="0" fontId="6" fillId="0" borderId="116" xfId="0" applyFont="1" applyBorder="1" applyAlignment="1">
      <alignment horizontal="center" vertical="center" wrapText="1"/>
    </xf>
    <xf numFmtId="0" fontId="3" fillId="0" borderId="117" xfId="0" applyFont="1" applyBorder="1"/>
    <xf numFmtId="0" fontId="6" fillId="0" borderId="121" xfId="0" applyFont="1" applyBorder="1" applyAlignment="1">
      <alignment horizontal="center" vertical="center" wrapText="1"/>
    </xf>
    <xf numFmtId="0" fontId="3" fillId="0" borderId="122" xfId="0" applyFont="1" applyBorder="1"/>
    <xf numFmtId="0" fontId="3" fillId="0" borderId="123" xfId="0" applyFont="1" applyBorder="1"/>
  </cellXfs>
  <cellStyles count="1">
    <cellStyle name="표준" xfId="0" builtinId="0"/>
  </cellStyles>
  <dxfs count="4"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67</xdr:row>
      <xdr:rowOff>171450</xdr:rowOff>
    </xdr:from>
    <xdr:ext cx="5276850" cy="22383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28575</xdr:rowOff>
    </xdr:from>
    <xdr:ext cx="3705225" cy="44100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76200</xdr:rowOff>
    </xdr:from>
    <xdr:ext cx="4914900" cy="4362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695950" cy="300037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57150</xdr:rowOff>
    </xdr:from>
    <xdr:ext cx="4991100" cy="475297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</xdr:row>
      <xdr:rowOff>142875</xdr:rowOff>
    </xdr:from>
    <xdr:ext cx="6143625" cy="453390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00"/>
  <sheetViews>
    <sheetView tabSelected="1" workbookViewId="0">
      <selection sqref="A1:P1"/>
    </sheetView>
  </sheetViews>
  <sheetFormatPr defaultColWidth="14.42578125" defaultRowHeight="15" customHeight="1"/>
  <cols>
    <col min="1" max="1" width="4.42578125" customWidth="1"/>
    <col min="2" max="2" width="13" customWidth="1"/>
    <col min="3" max="3" width="13.140625" customWidth="1"/>
    <col min="4" max="4" width="22" customWidth="1"/>
    <col min="5" max="12" width="5.85546875" customWidth="1"/>
    <col min="13" max="14" width="13.7109375" customWidth="1"/>
    <col min="15" max="16" width="5.85546875" customWidth="1"/>
    <col min="17" max="17" width="6" customWidth="1"/>
    <col min="18" max="26" width="8.7109375" customWidth="1"/>
  </cols>
  <sheetData>
    <row r="1" spans="1:16" ht="47.25" customHeight="1">
      <c r="A1" s="227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</row>
    <row r="2" spans="1:16" ht="29.25" customHeight="1">
      <c r="A2" s="229" t="s">
        <v>1</v>
      </c>
      <c r="B2" s="230"/>
      <c r="C2" s="230"/>
      <c r="D2" s="230"/>
      <c r="E2" s="1"/>
      <c r="F2" s="2"/>
      <c r="G2" s="3"/>
      <c r="H2" s="3"/>
      <c r="I2" s="3"/>
      <c r="J2" s="3"/>
      <c r="K2" s="231"/>
      <c r="L2" s="230"/>
      <c r="M2" s="230"/>
      <c r="N2" s="230"/>
      <c r="O2" s="230"/>
      <c r="P2" s="230"/>
    </row>
    <row r="3" spans="1:16" ht="16.5" customHeight="1">
      <c r="A3" s="232" t="s">
        <v>2</v>
      </c>
      <c r="B3" s="233" t="s">
        <v>3</v>
      </c>
      <c r="C3" s="189" t="s">
        <v>4</v>
      </c>
      <c r="D3" s="189" t="s">
        <v>5</v>
      </c>
      <c r="E3" s="189" t="s">
        <v>6</v>
      </c>
      <c r="F3" s="189" t="s">
        <v>7</v>
      </c>
      <c r="G3" s="221" t="s">
        <v>8</v>
      </c>
      <c r="H3" s="222"/>
      <c r="I3" s="221" t="s">
        <v>9</v>
      </c>
      <c r="J3" s="222"/>
      <c r="K3" s="221" t="s">
        <v>10</v>
      </c>
      <c r="L3" s="222"/>
      <c r="M3" s="189" t="s">
        <v>11</v>
      </c>
      <c r="N3" s="186" t="s">
        <v>12</v>
      </c>
      <c r="O3" s="189" t="s">
        <v>13</v>
      </c>
      <c r="P3" s="234" t="s">
        <v>14</v>
      </c>
    </row>
    <row r="4" spans="1:16" ht="14.25" customHeight="1">
      <c r="A4" s="206"/>
      <c r="B4" s="203"/>
      <c r="C4" s="190"/>
      <c r="D4" s="190"/>
      <c r="E4" s="190"/>
      <c r="F4" s="190"/>
      <c r="G4" s="223" t="s">
        <v>15</v>
      </c>
      <c r="H4" s="225" t="s">
        <v>16</v>
      </c>
      <c r="I4" s="223" t="s">
        <v>15</v>
      </c>
      <c r="J4" s="225" t="s">
        <v>16</v>
      </c>
      <c r="K4" s="223" t="s">
        <v>15</v>
      </c>
      <c r="L4" s="225" t="s">
        <v>16</v>
      </c>
      <c r="M4" s="190"/>
      <c r="N4" s="187"/>
      <c r="O4" s="190"/>
      <c r="P4" s="194"/>
    </row>
    <row r="5" spans="1:16" ht="14.25" customHeight="1">
      <c r="A5" s="207"/>
      <c r="B5" s="208"/>
      <c r="C5" s="191"/>
      <c r="D5" s="191"/>
      <c r="E5" s="191"/>
      <c r="F5" s="191"/>
      <c r="G5" s="224"/>
      <c r="H5" s="226"/>
      <c r="I5" s="224"/>
      <c r="J5" s="226"/>
      <c r="K5" s="224"/>
      <c r="L5" s="226"/>
      <c r="M5" s="191"/>
      <c r="N5" s="188"/>
      <c r="O5" s="191"/>
      <c r="P5" s="200"/>
    </row>
    <row r="6" spans="1:16" ht="14.25" hidden="1" customHeight="1">
      <c r="A6" s="4"/>
      <c r="B6" s="5"/>
      <c r="C6" s="6"/>
      <c r="D6" s="7"/>
      <c r="G6" s="8"/>
      <c r="H6" s="9"/>
      <c r="I6" s="10"/>
      <c r="J6" s="9"/>
      <c r="K6" s="10"/>
      <c r="L6" s="11"/>
      <c r="M6" s="12"/>
      <c r="N6" s="13"/>
      <c r="O6" s="14"/>
      <c r="P6" s="15"/>
    </row>
    <row r="7" spans="1:16" ht="15" customHeight="1">
      <c r="A7" s="205" t="s">
        <v>17</v>
      </c>
      <c r="B7" s="209" t="s">
        <v>18</v>
      </c>
      <c r="C7" s="17" t="s">
        <v>19</v>
      </c>
      <c r="D7" s="18" t="s">
        <v>20</v>
      </c>
      <c r="E7" s="19">
        <f t="shared" ref="E7:E38" si="0">IFERROR(VLOOKUP(D7, 기본학점, 2, FALSE), "")</f>
        <v>4</v>
      </c>
      <c r="F7" s="20">
        <v>4</v>
      </c>
      <c r="G7" s="21">
        <v>4</v>
      </c>
      <c r="H7" s="22"/>
      <c r="I7" s="23"/>
      <c r="J7" s="24"/>
      <c r="K7" s="23"/>
      <c r="L7" s="25"/>
      <c r="M7" s="26"/>
      <c r="N7" s="27"/>
      <c r="O7" s="192">
        <f>SUM(F7:F11)</f>
        <v>20</v>
      </c>
      <c r="P7" s="193">
        <v>8</v>
      </c>
    </row>
    <row r="8" spans="1:16" ht="15" customHeight="1">
      <c r="A8" s="206"/>
      <c r="B8" s="203"/>
      <c r="C8" s="28" t="s">
        <v>19</v>
      </c>
      <c r="D8" s="29" t="s">
        <v>21</v>
      </c>
      <c r="E8" s="30">
        <f t="shared" si="0"/>
        <v>4</v>
      </c>
      <c r="F8" s="31">
        <v>4</v>
      </c>
      <c r="G8" s="32"/>
      <c r="H8" s="33">
        <v>4</v>
      </c>
      <c r="I8" s="34"/>
      <c r="J8" s="35"/>
      <c r="K8" s="34"/>
      <c r="L8" s="36"/>
      <c r="M8" s="37"/>
      <c r="N8" s="27"/>
      <c r="O8" s="190"/>
      <c r="P8" s="194"/>
    </row>
    <row r="9" spans="1:16" ht="15" customHeight="1">
      <c r="A9" s="206"/>
      <c r="B9" s="203"/>
      <c r="C9" s="28" t="s">
        <v>22</v>
      </c>
      <c r="D9" s="29" t="s">
        <v>23</v>
      </c>
      <c r="E9" s="30">
        <f t="shared" si="0"/>
        <v>4</v>
      </c>
      <c r="F9" s="31">
        <v>4</v>
      </c>
      <c r="G9" s="32"/>
      <c r="H9" s="33"/>
      <c r="I9" s="34">
        <v>4</v>
      </c>
      <c r="J9" s="35"/>
      <c r="K9" s="34"/>
      <c r="L9" s="36"/>
      <c r="M9" s="37"/>
      <c r="N9" s="27"/>
      <c r="O9" s="190"/>
      <c r="P9" s="194"/>
    </row>
    <row r="10" spans="1:16" ht="15" customHeight="1">
      <c r="A10" s="206"/>
      <c r="B10" s="203"/>
      <c r="C10" s="28" t="s">
        <v>22</v>
      </c>
      <c r="D10" s="29" t="s">
        <v>24</v>
      </c>
      <c r="E10" s="30">
        <f t="shared" si="0"/>
        <v>4</v>
      </c>
      <c r="F10" s="31">
        <v>4</v>
      </c>
      <c r="G10" s="32"/>
      <c r="H10" s="33"/>
      <c r="I10" s="34"/>
      <c r="J10" s="35">
        <v>4</v>
      </c>
      <c r="K10" s="34"/>
      <c r="L10" s="36"/>
      <c r="M10" s="37"/>
      <c r="N10" s="27"/>
      <c r="O10" s="190"/>
      <c r="P10" s="194"/>
    </row>
    <row r="11" spans="1:16" ht="15" customHeight="1">
      <c r="A11" s="206"/>
      <c r="B11" s="203"/>
      <c r="C11" s="38" t="s">
        <v>22</v>
      </c>
      <c r="D11" s="29" t="s">
        <v>25</v>
      </c>
      <c r="E11" s="39">
        <f t="shared" si="0"/>
        <v>4</v>
      </c>
      <c r="F11" s="31">
        <v>4</v>
      </c>
      <c r="G11" s="32"/>
      <c r="H11" s="33"/>
      <c r="I11" s="34"/>
      <c r="J11" s="35"/>
      <c r="K11" s="34">
        <v>4</v>
      </c>
      <c r="L11" s="36"/>
      <c r="M11" s="37"/>
      <c r="N11" s="27"/>
      <c r="O11" s="190"/>
      <c r="P11" s="194"/>
    </row>
    <row r="12" spans="1:16" ht="15" customHeight="1">
      <c r="A12" s="206"/>
      <c r="B12" s="202" t="s">
        <v>26</v>
      </c>
      <c r="C12" s="41" t="s">
        <v>19</v>
      </c>
      <c r="D12" s="42" t="s">
        <v>27</v>
      </c>
      <c r="E12" s="19">
        <f t="shared" si="0"/>
        <v>4</v>
      </c>
      <c r="F12" s="43">
        <v>4</v>
      </c>
      <c r="G12" s="44">
        <v>4</v>
      </c>
      <c r="H12" s="45"/>
      <c r="I12" s="46"/>
      <c r="J12" s="47"/>
      <c r="K12" s="44"/>
      <c r="L12" s="45"/>
      <c r="M12" s="48"/>
      <c r="N12" s="49"/>
      <c r="O12" s="195">
        <f>SUM(F12:F16)</f>
        <v>20</v>
      </c>
      <c r="P12" s="196">
        <v>8</v>
      </c>
    </row>
    <row r="13" spans="1:16" ht="15" customHeight="1">
      <c r="A13" s="206"/>
      <c r="B13" s="203"/>
      <c r="C13" s="28" t="s">
        <v>19</v>
      </c>
      <c r="D13" s="29" t="s">
        <v>28</v>
      </c>
      <c r="E13" s="30">
        <f t="shared" si="0"/>
        <v>4</v>
      </c>
      <c r="F13" s="51">
        <v>4</v>
      </c>
      <c r="G13" s="52"/>
      <c r="H13" s="33">
        <v>4</v>
      </c>
      <c r="I13" s="34"/>
      <c r="J13" s="35"/>
      <c r="K13" s="52"/>
      <c r="L13" s="33"/>
      <c r="M13" s="37"/>
      <c r="N13" s="27"/>
      <c r="O13" s="184"/>
      <c r="P13" s="194"/>
    </row>
    <row r="14" spans="1:16" ht="15" customHeight="1">
      <c r="A14" s="206"/>
      <c r="B14" s="203"/>
      <c r="C14" s="28" t="s">
        <v>22</v>
      </c>
      <c r="D14" s="29" t="s">
        <v>29</v>
      </c>
      <c r="E14" s="30">
        <f t="shared" si="0"/>
        <v>4</v>
      </c>
      <c r="F14" s="31">
        <v>4</v>
      </c>
      <c r="G14" s="52"/>
      <c r="H14" s="33"/>
      <c r="I14" s="34">
        <v>4</v>
      </c>
      <c r="J14" s="35"/>
      <c r="K14" s="52"/>
      <c r="L14" s="33"/>
      <c r="M14" s="37"/>
      <c r="N14" s="27"/>
      <c r="O14" s="184"/>
      <c r="P14" s="194"/>
    </row>
    <row r="15" spans="1:16" ht="15" customHeight="1">
      <c r="A15" s="206"/>
      <c r="B15" s="203"/>
      <c r="C15" s="28" t="s">
        <v>22</v>
      </c>
      <c r="D15" s="29" t="s">
        <v>30</v>
      </c>
      <c r="E15" s="30">
        <f t="shared" si="0"/>
        <v>4</v>
      </c>
      <c r="F15" s="31">
        <v>4</v>
      </c>
      <c r="G15" s="52"/>
      <c r="H15" s="33"/>
      <c r="I15" s="34"/>
      <c r="J15" s="35">
        <v>4</v>
      </c>
      <c r="K15" s="52"/>
      <c r="L15" s="33"/>
      <c r="M15" s="37"/>
      <c r="N15" s="27"/>
      <c r="O15" s="184"/>
      <c r="P15" s="194"/>
    </row>
    <row r="16" spans="1:16" ht="15" customHeight="1">
      <c r="A16" s="206"/>
      <c r="B16" s="203"/>
      <c r="C16" s="38" t="s">
        <v>22</v>
      </c>
      <c r="D16" s="29" t="s">
        <v>31</v>
      </c>
      <c r="E16" s="39">
        <f t="shared" si="0"/>
        <v>4</v>
      </c>
      <c r="F16" s="31">
        <v>4</v>
      </c>
      <c r="G16" s="52"/>
      <c r="H16" s="33"/>
      <c r="I16" s="34"/>
      <c r="J16" s="35"/>
      <c r="K16" s="34">
        <v>4</v>
      </c>
      <c r="L16" s="35"/>
      <c r="M16" s="37"/>
      <c r="N16" s="27"/>
      <c r="O16" s="184"/>
      <c r="P16" s="194"/>
    </row>
    <row r="17" spans="1:20" ht="15" customHeight="1">
      <c r="A17" s="206"/>
      <c r="B17" s="202" t="s">
        <v>32</v>
      </c>
      <c r="C17" s="41" t="s">
        <v>19</v>
      </c>
      <c r="D17" s="42" t="s">
        <v>33</v>
      </c>
      <c r="E17" s="19">
        <f t="shared" si="0"/>
        <v>4</v>
      </c>
      <c r="F17" s="53">
        <v>4</v>
      </c>
      <c r="G17" s="54">
        <v>4</v>
      </c>
      <c r="H17" s="45"/>
      <c r="I17" s="46"/>
      <c r="J17" s="47"/>
      <c r="K17" s="46"/>
      <c r="L17" s="47"/>
      <c r="M17" s="48"/>
      <c r="N17" s="49"/>
      <c r="O17" s="183">
        <f>SUM(F17:F21)</f>
        <v>20</v>
      </c>
      <c r="P17" s="196">
        <v>8</v>
      </c>
    </row>
    <row r="18" spans="1:20" ht="15" customHeight="1">
      <c r="A18" s="206"/>
      <c r="B18" s="203"/>
      <c r="C18" s="28" t="s">
        <v>19</v>
      </c>
      <c r="D18" s="29" t="s">
        <v>34</v>
      </c>
      <c r="E18" s="30">
        <f t="shared" si="0"/>
        <v>4</v>
      </c>
      <c r="F18" s="31">
        <v>4</v>
      </c>
      <c r="G18" s="32"/>
      <c r="H18" s="33">
        <v>4</v>
      </c>
      <c r="I18" s="34"/>
      <c r="J18" s="35"/>
      <c r="K18" s="34"/>
      <c r="L18" s="35"/>
      <c r="M18" s="37"/>
      <c r="N18" s="27"/>
      <c r="O18" s="184"/>
      <c r="P18" s="194"/>
    </row>
    <row r="19" spans="1:20" ht="15" customHeight="1">
      <c r="A19" s="206"/>
      <c r="B19" s="203"/>
      <c r="C19" s="28" t="s">
        <v>22</v>
      </c>
      <c r="D19" s="29" t="s">
        <v>35</v>
      </c>
      <c r="E19" s="30">
        <f t="shared" si="0"/>
        <v>4</v>
      </c>
      <c r="F19" s="31">
        <v>4</v>
      </c>
      <c r="G19" s="32"/>
      <c r="H19" s="33"/>
      <c r="I19" s="34">
        <v>4</v>
      </c>
      <c r="J19" s="35"/>
      <c r="K19" s="34"/>
      <c r="L19" s="35"/>
      <c r="M19" s="37"/>
      <c r="N19" s="27"/>
      <c r="O19" s="184"/>
      <c r="P19" s="194"/>
    </row>
    <row r="20" spans="1:20" ht="15" customHeight="1">
      <c r="A20" s="206"/>
      <c r="B20" s="203"/>
      <c r="C20" s="28" t="s">
        <v>22</v>
      </c>
      <c r="D20" s="29" t="s">
        <v>36</v>
      </c>
      <c r="E20" s="30">
        <f t="shared" si="0"/>
        <v>4</v>
      </c>
      <c r="F20" s="31">
        <v>4</v>
      </c>
      <c r="G20" s="32"/>
      <c r="H20" s="33"/>
      <c r="I20" s="34"/>
      <c r="J20" s="35">
        <v>4</v>
      </c>
      <c r="K20" s="34"/>
      <c r="L20" s="35"/>
      <c r="M20" s="37"/>
      <c r="N20" s="27"/>
      <c r="O20" s="184"/>
      <c r="P20" s="194"/>
    </row>
    <row r="21" spans="1:20" ht="15" customHeight="1">
      <c r="A21" s="206"/>
      <c r="B21" s="203"/>
      <c r="C21" s="55" t="s">
        <v>22</v>
      </c>
      <c r="D21" s="29" t="s">
        <v>37</v>
      </c>
      <c r="E21" s="30">
        <f t="shared" si="0"/>
        <v>4</v>
      </c>
      <c r="F21" s="31">
        <v>4</v>
      </c>
      <c r="G21" s="32"/>
      <c r="H21" s="33"/>
      <c r="I21" s="34"/>
      <c r="J21" s="35"/>
      <c r="K21" s="34">
        <v>4</v>
      </c>
      <c r="L21" s="35"/>
      <c r="M21" s="37"/>
      <c r="N21" s="27"/>
      <c r="O21" s="184"/>
      <c r="P21" s="194"/>
    </row>
    <row r="22" spans="1:20" ht="15" customHeight="1">
      <c r="A22" s="206"/>
      <c r="B22" s="202" t="s">
        <v>38</v>
      </c>
      <c r="C22" s="56" t="s">
        <v>19</v>
      </c>
      <c r="D22" s="42" t="s">
        <v>39</v>
      </c>
      <c r="E22" s="57">
        <f t="shared" si="0"/>
        <v>3</v>
      </c>
      <c r="F22" s="53">
        <v>3</v>
      </c>
      <c r="G22" s="54">
        <v>3</v>
      </c>
      <c r="H22" s="45"/>
      <c r="I22" s="46"/>
      <c r="J22" s="47"/>
      <c r="K22" s="46"/>
      <c r="L22" s="58"/>
      <c r="M22" s="48"/>
      <c r="N22" s="49"/>
      <c r="O22" s="183">
        <f>SUM(F22:F23)</f>
        <v>6</v>
      </c>
      <c r="P22" s="196">
        <v>6</v>
      </c>
    </row>
    <row r="23" spans="1:20" ht="15" customHeight="1">
      <c r="A23" s="206"/>
      <c r="B23" s="203"/>
      <c r="C23" s="59" t="s">
        <v>19</v>
      </c>
      <c r="D23" s="60" t="s">
        <v>40</v>
      </c>
      <c r="E23" s="61">
        <f t="shared" si="0"/>
        <v>3</v>
      </c>
      <c r="F23" s="62">
        <v>3</v>
      </c>
      <c r="G23" s="63"/>
      <c r="H23" s="64">
        <v>3</v>
      </c>
      <c r="I23" s="65"/>
      <c r="J23" s="66"/>
      <c r="K23" s="65"/>
      <c r="L23" s="66"/>
      <c r="M23" s="60"/>
      <c r="N23" s="59"/>
      <c r="O23" s="185"/>
      <c r="P23" s="201"/>
    </row>
    <row r="24" spans="1:20" ht="15" customHeight="1">
      <c r="A24" s="206"/>
      <c r="B24" s="203"/>
      <c r="C24" s="67" t="s">
        <v>19</v>
      </c>
      <c r="D24" s="42" t="s">
        <v>41</v>
      </c>
      <c r="E24" s="57">
        <f t="shared" si="0"/>
        <v>4</v>
      </c>
      <c r="F24" s="53">
        <v>4</v>
      </c>
      <c r="G24" s="54">
        <v>4</v>
      </c>
      <c r="H24" s="45"/>
      <c r="I24" s="46"/>
      <c r="J24" s="47"/>
      <c r="K24" s="46"/>
      <c r="L24" s="58"/>
      <c r="M24" s="48"/>
      <c r="N24" s="67"/>
      <c r="O24" s="183">
        <f>SUM(F24:F25)</f>
        <v>8</v>
      </c>
      <c r="P24" s="196">
        <v>8</v>
      </c>
    </row>
    <row r="25" spans="1:20" ht="15" customHeight="1">
      <c r="A25" s="206"/>
      <c r="B25" s="203"/>
      <c r="C25" s="55" t="s">
        <v>19</v>
      </c>
      <c r="D25" s="29" t="s">
        <v>42</v>
      </c>
      <c r="E25" s="30">
        <f t="shared" si="0"/>
        <v>4</v>
      </c>
      <c r="F25" s="31">
        <v>4</v>
      </c>
      <c r="G25" s="32"/>
      <c r="H25" s="33">
        <v>4</v>
      </c>
      <c r="I25" s="34"/>
      <c r="J25" s="35"/>
      <c r="K25" s="34"/>
      <c r="L25" s="36"/>
      <c r="M25" s="37"/>
      <c r="N25" s="55"/>
      <c r="O25" s="184"/>
      <c r="P25" s="194"/>
    </row>
    <row r="26" spans="1:20" ht="15" customHeight="1">
      <c r="A26" s="206"/>
      <c r="B26" s="202" t="s">
        <v>43</v>
      </c>
      <c r="C26" s="56" t="s">
        <v>19</v>
      </c>
      <c r="D26" s="42" t="s">
        <v>44</v>
      </c>
      <c r="E26" s="57">
        <f t="shared" si="0"/>
        <v>4</v>
      </c>
      <c r="F26" s="53">
        <v>4</v>
      </c>
      <c r="G26" s="54">
        <v>4</v>
      </c>
      <c r="H26" s="45"/>
      <c r="I26" s="46"/>
      <c r="J26" s="47"/>
      <c r="K26" s="46"/>
      <c r="L26" s="58"/>
      <c r="M26" s="48"/>
      <c r="N26" s="67"/>
      <c r="O26" s="183">
        <f>SUM(F26:F29)</f>
        <v>10</v>
      </c>
      <c r="P26" s="196">
        <v>10</v>
      </c>
    </row>
    <row r="27" spans="1:20" ht="15" customHeight="1">
      <c r="A27" s="206"/>
      <c r="B27" s="203"/>
      <c r="C27" s="59" t="s">
        <v>19</v>
      </c>
      <c r="D27" s="29" t="s">
        <v>45</v>
      </c>
      <c r="E27" s="30">
        <f t="shared" si="0"/>
        <v>4</v>
      </c>
      <c r="F27" s="31">
        <v>4</v>
      </c>
      <c r="G27" s="32"/>
      <c r="H27" s="33">
        <v>4</v>
      </c>
      <c r="I27" s="34"/>
      <c r="J27" s="35"/>
      <c r="K27" s="34"/>
      <c r="L27" s="36"/>
      <c r="M27" s="37"/>
      <c r="N27" s="27"/>
      <c r="O27" s="184"/>
      <c r="P27" s="194"/>
    </row>
    <row r="28" spans="1:20" ht="15" customHeight="1">
      <c r="A28" s="206"/>
      <c r="B28" s="203"/>
      <c r="C28" s="67" t="s">
        <v>19</v>
      </c>
      <c r="D28" s="29" t="s">
        <v>46</v>
      </c>
      <c r="E28" s="30">
        <f t="shared" si="0"/>
        <v>1</v>
      </c>
      <c r="F28" s="31">
        <v>1</v>
      </c>
      <c r="G28" s="32">
        <v>1</v>
      </c>
      <c r="H28" s="33"/>
      <c r="I28" s="34"/>
      <c r="J28" s="35"/>
      <c r="K28" s="34"/>
      <c r="L28" s="36"/>
      <c r="M28" s="37"/>
      <c r="N28" s="27"/>
      <c r="O28" s="184"/>
      <c r="P28" s="194"/>
    </row>
    <row r="29" spans="1:20" ht="15" customHeight="1">
      <c r="A29" s="206"/>
      <c r="B29" s="203"/>
      <c r="C29" s="55" t="s">
        <v>19</v>
      </c>
      <c r="D29" s="29" t="s">
        <v>47</v>
      </c>
      <c r="E29" s="30">
        <f t="shared" si="0"/>
        <v>1</v>
      </c>
      <c r="F29" s="31">
        <v>1</v>
      </c>
      <c r="G29" s="32"/>
      <c r="H29" s="33">
        <v>1</v>
      </c>
      <c r="I29" s="34"/>
      <c r="J29" s="35"/>
      <c r="K29" s="34"/>
      <c r="L29" s="36"/>
      <c r="M29" s="37"/>
      <c r="N29" s="27"/>
      <c r="O29" s="184"/>
      <c r="P29" s="194"/>
    </row>
    <row r="30" spans="1:20" ht="15" customHeight="1">
      <c r="A30" s="206"/>
      <c r="B30" s="202" t="s">
        <v>48</v>
      </c>
      <c r="C30" s="67" t="s">
        <v>22</v>
      </c>
      <c r="D30" s="42" t="s">
        <v>49</v>
      </c>
      <c r="E30" s="57">
        <f t="shared" si="0"/>
        <v>3</v>
      </c>
      <c r="F30" s="43">
        <v>2</v>
      </c>
      <c r="G30" s="44">
        <v>2</v>
      </c>
      <c r="H30" s="45"/>
      <c r="I30" s="46"/>
      <c r="J30" s="47"/>
      <c r="K30" s="46"/>
      <c r="L30" s="58"/>
      <c r="M30" s="48"/>
      <c r="N30" s="67"/>
      <c r="O30" s="183">
        <f>SUM(F30:F35)</f>
        <v>10</v>
      </c>
      <c r="P30" s="196">
        <v>10</v>
      </c>
      <c r="R30" s="68"/>
      <c r="S30" s="68"/>
      <c r="T30" s="68"/>
    </row>
    <row r="31" spans="1:20" ht="15" customHeight="1">
      <c r="A31" s="206"/>
      <c r="B31" s="203"/>
      <c r="C31" s="55" t="s">
        <v>22</v>
      </c>
      <c r="D31" s="29" t="s">
        <v>50</v>
      </c>
      <c r="E31" s="30">
        <f t="shared" si="0"/>
        <v>3</v>
      </c>
      <c r="F31" s="31">
        <v>2</v>
      </c>
      <c r="G31" s="52"/>
      <c r="H31" s="33">
        <v>2</v>
      </c>
      <c r="I31" s="34"/>
      <c r="J31" s="35"/>
      <c r="K31" s="34"/>
      <c r="L31" s="36"/>
      <c r="M31" s="37"/>
      <c r="N31" s="27"/>
      <c r="O31" s="184"/>
      <c r="P31" s="194"/>
      <c r="R31" s="68"/>
      <c r="S31" s="68"/>
      <c r="T31" s="68"/>
    </row>
    <row r="32" spans="1:20" ht="15" customHeight="1">
      <c r="A32" s="206"/>
      <c r="B32" s="203"/>
      <c r="C32" s="55" t="s">
        <v>51</v>
      </c>
      <c r="D32" s="29" t="s">
        <v>52</v>
      </c>
      <c r="E32" s="30">
        <f t="shared" si="0"/>
        <v>3</v>
      </c>
      <c r="F32" s="31">
        <v>2</v>
      </c>
      <c r="G32" s="52"/>
      <c r="H32" s="33"/>
      <c r="I32" s="34">
        <v>2</v>
      </c>
      <c r="J32" s="35"/>
      <c r="K32" s="34"/>
      <c r="L32" s="36"/>
      <c r="M32" s="37"/>
      <c r="N32" s="27"/>
      <c r="O32" s="184"/>
      <c r="P32" s="194"/>
      <c r="R32" s="68"/>
      <c r="S32" s="68"/>
      <c r="T32" s="68"/>
    </row>
    <row r="33" spans="1:20" ht="15" customHeight="1">
      <c r="A33" s="206"/>
      <c r="B33" s="203"/>
      <c r="C33" s="55" t="s">
        <v>51</v>
      </c>
      <c r="D33" s="29" t="s">
        <v>53</v>
      </c>
      <c r="E33" s="30">
        <f t="shared" si="0"/>
        <v>3</v>
      </c>
      <c r="F33" s="31">
        <v>2</v>
      </c>
      <c r="G33" s="52"/>
      <c r="H33" s="33"/>
      <c r="I33" s="34"/>
      <c r="J33" s="35">
        <v>2</v>
      </c>
      <c r="K33" s="34"/>
      <c r="L33" s="36"/>
      <c r="M33" s="37"/>
      <c r="N33" s="27"/>
      <c r="O33" s="184"/>
      <c r="P33" s="194"/>
      <c r="R33" s="68"/>
      <c r="S33" s="68"/>
      <c r="T33" s="68"/>
    </row>
    <row r="34" spans="1:20" ht="15" customHeight="1">
      <c r="A34" s="206"/>
      <c r="B34" s="203"/>
      <c r="C34" s="55" t="s">
        <v>54</v>
      </c>
      <c r="D34" s="29" t="s">
        <v>55</v>
      </c>
      <c r="E34" s="30">
        <f t="shared" si="0"/>
        <v>2</v>
      </c>
      <c r="F34" s="31">
        <v>1</v>
      </c>
      <c r="G34" s="52"/>
      <c r="H34" s="33"/>
      <c r="I34" s="34"/>
      <c r="J34" s="35"/>
      <c r="K34" s="34">
        <v>1</v>
      </c>
      <c r="L34" s="36"/>
      <c r="M34" s="37"/>
      <c r="N34" s="27"/>
      <c r="O34" s="184"/>
      <c r="P34" s="194"/>
      <c r="R34" s="68"/>
      <c r="S34" s="68"/>
      <c r="T34" s="68"/>
    </row>
    <row r="35" spans="1:20" ht="15" customHeight="1">
      <c r="A35" s="206"/>
      <c r="B35" s="203"/>
      <c r="C35" s="55" t="s">
        <v>54</v>
      </c>
      <c r="D35" s="29" t="s">
        <v>56</v>
      </c>
      <c r="E35" s="30">
        <f t="shared" si="0"/>
        <v>2</v>
      </c>
      <c r="F35" s="31">
        <v>1</v>
      </c>
      <c r="G35" s="32"/>
      <c r="H35" s="33"/>
      <c r="I35" s="34"/>
      <c r="J35" s="35"/>
      <c r="K35" s="34"/>
      <c r="L35" s="36">
        <v>1</v>
      </c>
      <c r="M35" s="37"/>
      <c r="N35" s="27"/>
      <c r="O35" s="184"/>
      <c r="P35" s="194"/>
      <c r="R35" s="68"/>
      <c r="S35" s="68"/>
      <c r="T35" s="68"/>
    </row>
    <row r="36" spans="1:20" ht="15" customHeight="1">
      <c r="A36" s="206"/>
      <c r="B36" s="202" t="s">
        <v>57</v>
      </c>
      <c r="C36" s="67" t="s">
        <v>22</v>
      </c>
      <c r="D36" s="42" t="s">
        <v>58</v>
      </c>
      <c r="E36" s="57">
        <f t="shared" si="0"/>
        <v>3</v>
      </c>
      <c r="F36" s="53">
        <v>2</v>
      </c>
      <c r="G36" s="44">
        <v>2</v>
      </c>
      <c r="H36" s="45" t="s">
        <v>59</v>
      </c>
      <c r="I36" s="46"/>
      <c r="J36" s="47"/>
      <c r="K36" s="46"/>
      <c r="L36" s="58"/>
      <c r="M36" s="48"/>
      <c r="N36" s="67"/>
      <c r="O36" s="197">
        <f>SUM(F36:F37)</f>
        <v>4</v>
      </c>
      <c r="P36" s="196">
        <v>10</v>
      </c>
      <c r="R36" s="68"/>
      <c r="S36" s="68"/>
      <c r="T36" s="68"/>
    </row>
    <row r="37" spans="1:20" ht="15" customHeight="1">
      <c r="A37" s="206"/>
      <c r="B37" s="203"/>
      <c r="C37" s="55" t="s">
        <v>22</v>
      </c>
      <c r="D37" s="29" t="s">
        <v>60</v>
      </c>
      <c r="E37" s="30">
        <f t="shared" si="0"/>
        <v>3</v>
      </c>
      <c r="F37" s="31">
        <v>2</v>
      </c>
      <c r="G37" s="52" t="s">
        <v>59</v>
      </c>
      <c r="H37" s="33">
        <v>2</v>
      </c>
      <c r="I37" s="34"/>
      <c r="J37" s="35"/>
      <c r="K37" s="34"/>
      <c r="L37" s="36"/>
      <c r="M37" s="37"/>
      <c r="N37" s="27"/>
      <c r="O37" s="191"/>
      <c r="P37" s="194"/>
      <c r="R37" s="68"/>
      <c r="S37" s="68"/>
      <c r="T37" s="68"/>
    </row>
    <row r="38" spans="1:20" ht="15" customHeight="1">
      <c r="A38" s="205" t="s">
        <v>61</v>
      </c>
      <c r="B38" s="16" t="s">
        <v>18</v>
      </c>
      <c r="C38" s="69" t="s">
        <v>54</v>
      </c>
      <c r="D38" s="70" t="s">
        <v>62</v>
      </c>
      <c r="E38" s="71">
        <f t="shared" si="0"/>
        <v>4</v>
      </c>
      <c r="F38" s="72">
        <v>4</v>
      </c>
      <c r="G38" s="73"/>
      <c r="H38" s="22"/>
      <c r="I38" s="235" t="s">
        <v>63</v>
      </c>
      <c r="J38" s="74"/>
      <c r="K38" s="23"/>
      <c r="L38" s="75"/>
      <c r="M38" s="76"/>
      <c r="N38" s="77"/>
      <c r="O38" s="192">
        <v>32</v>
      </c>
      <c r="P38" s="198"/>
      <c r="R38" s="68"/>
      <c r="S38" s="68"/>
      <c r="T38" s="68"/>
    </row>
    <row r="39" spans="1:20" ht="15" customHeight="1">
      <c r="A39" s="206"/>
      <c r="B39" s="202" t="s">
        <v>26</v>
      </c>
      <c r="C39" s="67" t="s">
        <v>54</v>
      </c>
      <c r="D39" s="78" t="s">
        <v>64</v>
      </c>
      <c r="E39" s="57">
        <f t="shared" ref="E39:E70" si="1">IFERROR(VLOOKUP(D39, 기본학점, 2, FALSE), "")</f>
        <v>4</v>
      </c>
      <c r="F39" s="57">
        <v>4</v>
      </c>
      <c r="G39" s="53"/>
      <c r="H39" s="45"/>
      <c r="I39" s="236"/>
      <c r="J39" s="79"/>
      <c r="K39" s="46"/>
      <c r="L39" s="58"/>
      <c r="M39" s="48"/>
      <c r="N39" s="67"/>
      <c r="O39" s="190"/>
      <c r="P39" s="194"/>
      <c r="R39" s="68"/>
      <c r="S39" s="68"/>
      <c r="T39" s="68"/>
    </row>
    <row r="40" spans="1:20" ht="15" customHeight="1">
      <c r="A40" s="206"/>
      <c r="B40" s="203"/>
      <c r="C40" s="80" t="s">
        <v>51</v>
      </c>
      <c r="D40" s="29" t="s">
        <v>65</v>
      </c>
      <c r="E40" s="30">
        <f t="shared" si="1"/>
        <v>4</v>
      </c>
      <c r="F40" s="30">
        <v>4</v>
      </c>
      <c r="G40" s="31"/>
      <c r="H40" s="33"/>
      <c r="I40" s="236"/>
      <c r="J40" s="81"/>
      <c r="K40" s="34"/>
      <c r="L40" s="36"/>
      <c r="M40" s="37"/>
      <c r="N40" s="27"/>
      <c r="O40" s="190"/>
      <c r="P40" s="194"/>
      <c r="R40" s="68"/>
      <c r="S40" s="68"/>
      <c r="T40" s="68"/>
    </row>
    <row r="41" spans="1:20" ht="15" customHeight="1">
      <c r="A41" s="206"/>
      <c r="B41" s="202" t="s">
        <v>32</v>
      </c>
      <c r="C41" s="67" t="s">
        <v>54</v>
      </c>
      <c r="D41" s="42" t="s">
        <v>66</v>
      </c>
      <c r="E41" s="57">
        <f t="shared" si="1"/>
        <v>4</v>
      </c>
      <c r="F41" s="44">
        <v>4</v>
      </c>
      <c r="G41" s="44"/>
      <c r="H41" s="45"/>
      <c r="I41" s="236"/>
      <c r="J41" s="79"/>
      <c r="K41" s="46"/>
      <c r="L41" s="58"/>
      <c r="M41" s="48"/>
      <c r="N41" s="67"/>
      <c r="O41" s="190"/>
      <c r="P41" s="194"/>
    </row>
    <row r="42" spans="1:20" ht="15" customHeight="1">
      <c r="A42" s="206"/>
      <c r="B42" s="203"/>
      <c r="C42" s="80" t="s">
        <v>51</v>
      </c>
      <c r="D42" s="29" t="s">
        <v>67</v>
      </c>
      <c r="E42" s="30">
        <f t="shared" si="1"/>
        <v>4</v>
      </c>
      <c r="F42" s="52">
        <v>4</v>
      </c>
      <c r="G42" s="52"/>
      <c r="H42" s="33"/>
      <c r="I42" s="236"/>
      <c r="J42" s="81"/>
      <c r="K42" s="34"/>
      <c r="L42" s="36"/>
      <c r="M42" s="37"/>
      <c r="N42" s="27"/>
      <c r="O42" s="190"/>
      <c r="P42" s="194"/>
    </row>
    <row r="43" spans="1:20" ht="15" customHeight="1">
      <c r="A43" s="206"/>
      <c r="B43" s="202" t="s">
        <v>38</v>
      </c>
      <c r="C43" s="82" t="s">
        <v>22</v>
      </c>
      <c r="D43" s="42" t="s">
        <v>68</v>
      </c>
      <c r="E43" s="57">
        <f t="shared" si="1"/>
        <v>4</v>
      </c>
      <c r="F43" s="44">
        <v>4</v>
      </c>
      <c r="G43" s="44"/>
      <c r="H43" s="45"/>
      <c r="I43" s="236"/>
      <c r="J43" s="43"/>
      <c r="K43" s="54"/>
      <c r="L43" s="57"/>
      <c r="M43" s="48"/>
      <c r="N43" s="49"/>
      <c r="O43" s="190"/>
      <c r="P43" s="194"/>
    </row>
    <row r="44" spans="1:20" ht="15" customHeight="1">
      <c r="A44" s="206"/>
      <c r="B44" s="203"/>
      <c r="C44" s="83" t="s">
        <v>22</v>
      </c>
      <c r="D44" s="29" t="s">
        <v>69</v>
      </c>
      <c r="E44" s="30">
        <f t="shared" si="1"/>
        <v>4</v>
      </c>
      <c r="F44" s="52">
        <v>4</v>
      </c>
      <c r="G44" s="52"/>
      <c r="H44" s="33"/>
      <c r="I44" s="236"/>
      <c r="J44" s="51"/>
      <c r="K44" s="32"/>
      <c r="L44" s="30"/>
      <c r="M44" s="37"/>
      <c r="N44" s="27"/>
      <c r="O44" s="190"/>
      <c r="P44" s="194"/>
    </row>
    <row r="45" spans="1:20" ht="15" customHeight="1">
      <c r="A45" s="206"/>
      <c r="B45" s="203"/>
      <c r="C45" s="83" t="s">
        <v>22</v>
      </c>
      <c r="D45" s="29" t="s">
        <v>70</v>
      </c>
      <c r="E45" s="30">
        <f t="shared" si="1"/>
        <v>4</v>
      </c>
      <c r="F45" s="52">
        <v>4</v>
      </c>
      <c r="G45" s="52"/>
      <c r="H45" s="33"/>
      <c r="I45" s="236"/>
      <c r="J45" s="51"/>
      <c r="K45" s="32"/>
      <c r="L45" s="30"/>
      <c r="M45" s="37"/>
      <c r="N45" s="27"/>
      <c r="O45" s="190"/>
      <c r="P45" s="194"/>
    </row>
    <row r="46" spans="1:20" ht="15" customHeight="1">
      <c r="A46" s="206"/>
      <c r="B46" s="203"/>
      <c r="C46" s="38" t="s">
        <v>22</v>
      </c>
      <c r="D46" s="29" t="s">
        <v>71</v>
      </c>
      <c r="E46" s="30">
        <f t="shared" si="1"/>
        <v>4</v>
      </c>
      <c r="F46" s="52">
        <v>4</v>
      </c>
      <c r="G46" s="52"/>
      <c r="H46" s="33"/>
      <c r="I46" s="236"/>
      <c r="J46" s="51"/>
      <c r="K46" s="32"/>
      <c r="L46" s="30"/>
      <c r="M46" s="37"/>
      <c r="N46" s="27"/>
      <c r="O46" s="190"/>
      <c r="P46" s="194"/>
    </row>
    <row r="47" spans="1:20" ht="15" customHeight="1">
      <c r="A47" s="206"/>
      <c r="B47" s="202" t="s">
        <v>43</v>
      </c>
      <c r="C47" s="80" t="s">
        <v>22</v>
      </c>
      <c r="D47" s="42" t="s">
        <v>72</v>
      </c>
      <c r="E47" s="57">
        <f t="shared" si="1"/>
        <v>4</v>
      </c>
      <c r="F47" s="44">
        <v>4</v>
      </c>
      <c r="G47" s="44"/>
      <c r="H47" s="45"/>
      <c r="I47" s="236"/>
      <c r="J47" s="79"/>
      <c r="K47" s="84"/>
      <c r="L47" s="47"/>
      <c r="M47" s="48"/>
      <c r="N47" s="49"/>
      <c r="O47" s="190"/>
      <c r="P47" s="194"/>
    </row>
    <row r="48" spans="1:20" ht="15" customHeight="1">
      <c r="A48" s="206"/>
      <c r="B48" s="203"/>
      <c r="C48" s="83" t="s">
        <v>22</v>
      </c>
      <c r="D48" s="29" t="s">
        <v>73</v>
      </c>
      <c r="E48" s="30">
        <f t="shared" si="1"/>
        <v>4</v>
      </c>
      <c r="F48" s="52">
        <v>4</v>
      </c>
      <c r="G48" s="52"/>
      <c r="H48" s="33"/>
      <c r="I48" s="236"/>
      <c r="J48" s="81"/>
      <c r="K48" s="85"/>
      <c r="L48" s="35"/>
      <c r="M48" s="37"/>
      <c r="N48" s="27"/>
      <c r="O48" s="190"/>
      <c r="P48" s="194"/>
    </row>
    <row r="49" spans="1:16" ht="15" customHeight="1">
      <c r="A49" s="206"/>
      <c r="B49" s="203"/>
      <c r="C49" s="83" t="s">
        <v>22</v>
      </c>
      <c r="D49" s="29" t="s">
        <v>74</v>
      </c>
      <c r="E49" s="30">
        <f t="shared" si="1"/>
        <v>4</v>
      </c>
      <c r="F49" s="52">
        <v>4</v>
      </c>
      <c r="G49" s="52"/>
      <c r="H49" s="33"/>
      <c r="I49" s="236"/>
      <c r="J49" s="81"/>
      <c r="K49" s="85"/>
      <c r="L49" s="35"/>
      <c r="M49" s="37"/>
      <c r="N49" s="27"/>
      <c r="O49" s="190"/>
      <c r="P49" s="194"/>
    </row>
    <row r="50" spans="1:16" ht="15" customHeight="1">
      <c r="A50" s="206"/>
      <c r="B50" s="203"/>
      <c r="C50" s="38" t="s">
        <v>22</v>
      </c>
      <c r="D50" s="60" t="s">
        <v>75</v>
      </c>
      <c r="E50" s="61">
        <f t="shared" si="1"/>
        <v>4</v>
      </c>
      <c r="F50" s="39">
        <v>4</v>
      </c>
      <c r="G50" s="63"/>
      <c r="H50" s="64"/>
      <c r="I50" s="237"/>
      <c r="J50" s="86"/>
      <c r="K50" s="65"/>
      <c r="L50" s="66"/>
      <c r="M50" s="87"/>
      <c r="N50" s="38"/>
      <c r="O50" s="190"/>
      <c r="P50" s="194"/>
    </row>
    <row r="51" spans="1:16" ht="15" customHeight="1">
      <c r="A51" s="206"/>
      <c r="B51" s="40" t="s">
        <v>18</v>
      </c>
      <c r="C51" s="82" t="s">
        <v>51</v>
      </c>
      <c r="D51" s="88" t="s">
        <v>76</v>
      </c>
      <c r="E51" s="89">
        <f t="shared" si="1"/>
        <v>4</v>
      </c>
      <c r="F51" s="90">
        <v>4</v>
      </c>
      <c r="G51" s="91"/>
      <c r="H51" s="92"/>
      <c r="I51" s="93"/>
      <c r="J51" s="238" t="s">
        <v>63</v>
      </c>
      <c r="K51" s="94"/>
      <c r="L51" s="95"/>
      <c r="M51" s="96"/>
      <c r="N51" s="97"/>
      <c r="O51" s="190"/>
      <c r="P51" s="194"/>
    </row>
    <row r="52" spans="1:16" ht="15" customHeight="1">
      <c r="A52" s="206"/>
      <c r="B52" s="202" t="s">
        <v>26</v>
      </c>
      <c r="C52" s="82" t="s">
        <v>54</v>
      </c>
      <c r="D52" s="78" t="s">
        <v>77</v>
      </c>
      <c r="E52" s="61">
        <f t="shared" si="1"/>
        <v>4</v>
      </c>
      <c r="F52" s="43">
        <v>4</v>
      </c>
      <c r="G52" s="54"/>
      <c r="H52" s="45"/>
      <c r="I52" s="98"/>
      <c r="J52" s="190"/>
      <c r="K52" s="46"/>
      <c r="L52" s="47"/>
      <c r="M52" s="48"/>
      <c r="N52" s="67"/>
      <c r="O52" s="190"/>
      <c r="P52" s="194"/>
    </row>
    <row r="53" spans="1:16" ht="15" customHeight="1">
      <c r="A53" s="206"/>
      <c r="B53" s="203"/>
      <c r="C53" s="38" t="s">
        <v>51</v>
      </c>
      <c r="D53" s="99" t="s">
        <v>78</v>
      </c>
      <c r="E53" s="61">
        <f t="shared" si="1"/>
        <v>4</v>
      </c>
      <c r="F53" s="39">
        <v>4</v>
      </c>
      <c r="G53" s="63"/>
      <c r="H53" s="64"/>
      <c r="I53" s="100"/>
      <c r="J53" s="190"/>
      <c r="K53" s="94"/>
      <c r="L53" s="95"/>
      <c r="M53" s="96"/>
      <c r="N53" s="97"/>
      <c r="O53" s="190"/>
      <c r="P53" s="194"/>
    </row>
    <row r="54" spans="1:16" ht="15" customHeight="1">
      <c r="A54" s="206"/>
      <c r="B54" s="202" t="s">
        <v>32</v>
      </c>
      <c r="C54" s="80" t="s">
        <v>54</v>
      </c>
      <c r="D54" s="42" t="s">
        <v>79</v>
      </c>
      <c r="E54" s="61">
        <f t="shared" si="1"/>
        <v>4</v>
      </c>
      <c r="F54" s="20">
        <v>4</v>
      </c>
      <c r="G54" s="101"/>
      <c r="H54" s="102"/>
      <c r="I54" s="103"/>
      <c r="J54" s="190"/>
      <c r="K54" s="46"/>
      <c r="L54" s="47"/>
      <c r="M54" s="48"/>
      <c r="N54" s="67"/>
      <c r="O54" s="190"/>
      <c r="P54" s="194"/>
    </row>
    <row r="55" spans="1:16" ht="15" customHeight="1">
      <c r="A55" s="206"/>
      <c r="B55" s="203"/>
      <c r="C55" s="38" t="s">
        <v>51</v>
      </c>
      <c r="D55" s="60" t="s">
        <v>80</v>
      </c>
      <c r="E55" s="61">
        <f t="shared" si="1"/>
        <v>4</v>
      </c>
      <c r="F55" s="90">
        <v>4</v>
      </c>
      <c r="G55" s="91"/>
      <c r="H55" s="92"/>
      <c r="I55" s="104"/>
      <c r="J55" s="190"/>
      <c r="K55" s="65"/>
      <c r="L55" s="95"/>
      <c r="M55" s="96"/>
      <c r="N55" s="97"/>
      <c r="O55" s="190"/>
      <c r="P55" s="194"/>
    </row>
    <row r="56" spans="1:16" ht="15" customHeight="1">
      <c r="A56" s="206"/>
      <c r="B56" s="202" t="s">
        <v>38</v>
      </c>
      <c r="C56" s="80" t="s">
        <v>54</v>
      </c>
      <c r="D56" s="78" t="s">
        <v>81</v>
      </c>
      <c r="E56" s="61">
        <f t="shared" si="1"/>
        <v>4</v>
      </c>
      <c r="F56" s="43">
        <v>4</v>
      </c>
      <c r="G56" s="54"/>
      <c r="H56" s="45"/>
      <c r="I56" s="103"/>
      <c r="J56" s="190"/>
      <c r="K56" s="105"/>
      <c r="L56" s="47"/>
      <c r="M56" s="48"/>
      <c r="N56" s="67"/>
      <c r="O56" s="190"/>
      <c r="P56" s="194"/>
    </row>
    <row r="57" spans="1:16" ht="15" customHeight="1">
      <c r="A57" s="206"/>
      <c r="B57" s="203"/>
      <c r="C57" s="55" t="s">
        <v>54</v>
      </c>
      <c r="D57" s="78" t="s">
        <v>82</v>
      </c>
      <c r="E57" s="61">
        <f t="shared" si="1"/>
        <v>4</v>
      </c>
      <c r="F57" s="20">
        <v>4</v>
      </c>
      <c r="G57" s="101"/>
      <c r="H57" s="102"/>
      <c r="I57" s="98"/>
      <c r="J57" s="190"/>
      <c r="K57" s="105"/>
      <c r="L57" s="106"/>
      <c r="M57" s="26"/>
      <c r="N57" s="107"/>
      <c r="O57" s="190"/>
      <c r="P57" s="194"/>
    </row>
    <row r="58" spans="1:16" ht="15" customHeight="1">
      <c r="A58" s="206"/>
      <c r="B58" s="203"/>
      <c r="C58" s="55" t="s">
        <v>54</v>
      </c>
      <c r="D58" s="78" t="s">
        <v>83</v>
      </c>
      <c r="E58" s="61">
        <f t="shared" si="1"/>
        <v>4</v>
      </c>
      <c r="F58" s="20">
        <v>4</v>
      </c>
      <c r="G58" s="101"/>
      <c r="H58" s="102"/>
      <c r="I58" s="108"/>
      <c r="J58" s="190"/>
      <c r="K58" s="105"/>
      <c r="L58" s="106"/>
      <c r="M58" s="26"/>
      <c r="N58" s="107"/>
      <c r="O58" s="190"/>
      <c r="P58" s="194"/>
    </row>
    <row r="59" spans="1:16" ht="15" customHeight="1">
      <c r="A59" s="206"/>
      <c r="B59" s="204"/>
      <c r="C59" s="38" t="s">
        <v>54</v>
      </c>
      <c r="D59" s="60" t="s">
        <v>84</v>
      </c>
      <c r="E59" s="61">
        <f t="shared" si="1"/>
        <v>4</v>
      </c>
      <c r="F59" s="39">
        <v>4</v>
      </c>
      <c r="G59" s="91"/>
      <c r="H59" s="92"/>
      <c r="I59" s="104"/>
      <c r="J59" s="190"/>
      <c r="K59" s="94"/>
      <c r="L59" s="95"/>
      <c r="M59" s="96"/>
      <c r="N59" s="97"/>
      <c r="O59" s="190"/>
      <c r="P59" s="194"/>
    </row>
    <row r="60" spans="1:16" ht="15" customHeight="1">
      <c r="A60" s="206"/>
      <c r="B60" s="202" t="s">
        <v>43</v>
      </c>
      <c r="C60" s="82" t="s">
        <v>54</v>
      </c>
      <c r="D60" s="78" t="s">
        <v>85</v>
      </c>
      <c r="E60" s="109">
        <f t="shared" si="1"/>
        <v>4</v>
      </c>
      <c r="F60" s="20">
        <v>4</v>
      </c>
      <c r="G60" s="54"/>
      <c r="H60" s="45"/>
      <c r="I60" s="98"/>
      <c r="J60" s="190"/>
      <c r="K60" s="46"/>
      <c r="L60" s="47"/>
      <c r="M60" s="48"/>
      <c r="N60" s="67"/>
      <c r="O60" s="190"/>
      <c r="P60" s="194"/>
    </row>
    <row r="61" spans="1:16" ht="15" customHeight="1">
      <c r="A61" s="206"/>
      <c r="B61" s="203"/>
      <c r="C61" s="55" t="s">
        <v>54</v>
      </c>
      <c r="D61" s="78" t="s">
        <v>86</v>
      </c>
      <c r="E61" s="110">
        <f t="shared" si="1"/>
        <v>4</v>
      </c>
      <c r="F61" s="20">
        <v>4</v>
      </c>
      <c r="G61" s="101"/>
      <c r="H61" s="102"/>
      <c r="I61" s="108"/>
      <c r="J61" s="190"/>
      <c r="K61" s="105"/>
      <c r="L61" s="106"/>
      <c r="M61" s="26"/>
      <c r="N61" s="107"/>
      <c r="O61" s="190"/>
      <c r="P61" s="194"/>
    </row>
    <row r="62" spans="1:16" ht="15" customHeight="1">
      <c r="A62" s="206"/>
      <c r="B62" s="203"/>
      <c r="C62" s="55" t="s">
        <v>54</v>
      </c>
      <c r="D62" s="78" t="s">
        <v>87</v>
      </c>
      <c r="E62" s="110">
        <f t="shared" si="1"/>
        <v>4</v>
      </c>
      <c r="F62" s="20">
        <v>4</v>
      </c>
      <c r="G62" s="101"/>
      <c r="H62" s="102"/>
      <c r="I62" s="108"/>
      <c r="J62" s="190"/>
      <c r="K62" s="105"/>
      <c r="L62" s="106"/>
      <c r="M62" s="26"/>
      <c r="N62" s="107"/>
      <c r="O62" s="190"/>
      <c r="P62" s="194"/>
    </row>
    <row r="63" spans="1:16" ht="15" customHeight="1">
      <c r="A63" s="206"/>
      <c r="B63" s="203"/>
      <c r="C63" s="38" t="s">
        <v>54</v>
      </c>
      <c r="D63" s="111" t="s">
        <v>88</v>
      </c>
      <c r="E63" s="112">
        <f t="shared" si="1"/>
        <v>4</v>
      </c>
      <c r="F63" s="113">
        <v>4</v>
      </c>
      <c r="G63" s="114"/>
      <c r="H63" s="115"/>
      <c r="I63" s="100"/>
      <c r="J63" s="239"/>
      <c r="K63" s="116"/>
      <c r="L63" s="117"/>
      <c r="M63" s="118"/>
      <c r="N63" s="119"/>
      <c r="O63" s="190"/>
      <c r="P63" s="194"/>
    </row>
    <row r="64" spans="1:16" ht="15" customHeight="1">
      <c r="A64" s="206"/>
      <c r="B64" s="40" t="s">
        <v>89</v>
      </c>
      <c r="C64" s="67" t="s">
        <v>22</v>
      </c>
      <c r="D64" s="42" t="s">
        <v>90</v>
      </c>
      <c r="E64" s="57">
        <f t="shared" si="1"/>
        <v>4</v>
      </c>
      <c r="F64" s="43">
        <v>4</v>
      </c>
      <c r="G64" s="44"/>
      <c r="H64" s="45"/>
      <c r="I64" s="240" t="s">
        <v>91</v>
      </c>
      <c r="J64" s="240" t="s">
        <v>91</v>
      </c>
      <c r="K64" s="79"/>
      <c r="L64" s="58"/>
      <c r="M64" s="48"/>
      <c r="N64" s="49"/>
      <c r="O64" s="190"/>
      <c r="P64" s="194"/>
    </row>
    <row r="65" spans="1:16" ht="15" customHeight="1">
      <c r="A65" s="206"/>
      <c r="B65" s="202" t="s">
        <v>92</v>
      </c>
      <c r="C65" s="67" t="s">
        <v>22</v>
      </c>
      <c r="D65" s="42" t="s">
        <v>93</v>
      </c>
      <c r="E65" s="57">
        <f t="shared" si="1"/>
        <v>4</v>
      </c>
      <c r="F65" s="43">
        <v>4</v>
      </c>
      <c r="G65" s="44"/>
      <c r="H65" s="45"/>
      <c r="I65" s="190"/>
      <c r="J65" s="190"/>
      <c r="K65" s="79"/>
      <c r="L65" s="58"/>
      <c r="M65" s="48"/>
      <c r="N65" s="67"/>
      <c r="O65" s="190"/>
      <c r="P65" s="194"/>
    </row>
    <row r="66" spans="1:16" ht="15" customHeight="1">
      <c r="A66" s="206"/>
      <c r="B66" s="203"/>
      <c r="C66" s="55" t="s">
        <v>22</v>
      </c>
      <c r="D66" s="29" t="s">
        <v>94</v>
      </c>
      <c r="E66" s="30">
        <f t="shared" si="1"/>
        <v>4</v>
      </c>
      <c r="F66" s="52">
        <v>4</v>
      </c>
      <c r="G66" s="52"/>
      <c r="H66" s="33"/>
      <c r="I66" s="190"/>
      <c r="J66" s="190"/>
      <c r="K66" s="81"/>
      <c r="L66" s="36"/>
      <c r="M66" s="37"/>
      <c r="N66" s="55"/>
      <c r="O66" s="190"/>
      <c r="P66" s="194"/>
    </row>
    <row r="67" spans="1:16" ht="15" customHeight="1">
      <c r="A67" s="206"/>
      <c r="B67" s="208"/>
      <c r="C67" s="55" t="s">
        <v>22</v>
      </c>
      <c r="D67" s="29" t="s">
        <v>95</v>
      </c>
      <c r="E67" s="30">
        <f t="shared" si="1"/>
        <v>4</v>
      </c>
      <c r="F67" s="51">
        <v>4</v>
      </c>
      <c r="G67" s="52"/>
      <c r="H67" s="120"/>
      <c r="I67" s="191"/>
      <c r="J67" s="191"/>
      <c r="K67" s="121"/>
      <c r="L67" s="122"/>
      <c r="M67" s="37"/>
      <c r="N67" s="27"/>
      <c r="O67" s="191"/>
      <c r="P67" s="199"/>
    </row>
    <row r="68" spans="1:16" ht="15" customHeight="1">
      <c r="A68" s="205" t="s">
        <v>96</v>
      </c>
      <c r="B68" s="209" t="s">
        <v>18</v>
      </c>
      <c r="C68" s="77" t="s">
        <v>54</v>
      </c>
      <c r="D68" s="18" t="s">
        <v>97</v>
      </c>
      <c r="E68" s="72">
        <f t="shared" si="1"/>
        <v>4</v>
      </c>
      <c r="F68" s="123">
        <v>3</v>
      </c>
      <c r="G68" s="124"/>
      <c r="H68" s="102"/>
      <c r="I68" s="125"/>
      <c r="J68" s="25"/>
      <c r="K68" s="241" t="s">
        <v>98</v>
      </c>
      <c r="L68" s="126"/>
      <c r="M68" s="76"/>
      <c r="N68" s="77"/>
      <c r="O68" s="192">
        <v>44</v>
      </c>
      <c r="P68" s="198"/>
    </row>
    <row r="69" spans="1:16" ht="15" customHeight="1">
      <c r="A69" s="206"/>
      <c r="B69" s="203"/>
      <c r="C69" s="55" t="s">
        <v>51</v>
      </c>
      <c r="D69" s="29" t="s">
        <v>99</v>
      </c>
      <c r="E69" s="30">
        <f t="shared" si="1"/>
        <v>4</v>
      </c>
      <c r="F69" s="31">
        <v>3</v>
      </c>
      <c r="G69" s="52"/>
      <c r="H69" s="33"/>
      <c r="I69" s="34"/>
      <c r="J69" s="36"/>
      <c r="K69" s="214"/>
      <c r="L69" s="81"/>
      <c r="M69" s="37"/>
      <c r="N69" s="27"/>
      <c r="O69" s="190"/>
      <c r="P69" s="194"/>
    </row>
    <row r="70" spans="1:16" ht="15" customHeight="1">
      <c r="A70" s="206"/>
      <c r="B70" s="202" t="s">
        <v>26</v>
      </c>
      <c r="C70" s="67" t="s">
        <v>54</v>
      </c>
      <c r="D70" s="42" t="s">
        <v>100</v>
      </c>
      <c r="E70" s="57">
        <f t="shared" si="1"/>
        <v>4</v>
      </c>
      <c r="F70" s="43">
        <v>3</v>
      </c>
      <c r="G70" s="44"/>
      <c r="H70" s="45"/>
      <c r="I70" s="46"/>
      <c r="J70" s="58"/>
      <c r="K70" s="214"/>
      <c r="L70" s="79"/>
      <c r="M70" s="48"/>
      <c r="N70" s="49"/>
      <c r="O70" s="190"/>
      <c r="P70" s="194"/>
    </row>
    <row r="71" spans="1:16" ht="15" customHeight="1">
      <c r="A71" s="206"/>
      <c r="B71" s="203"/>
      <c r="C71" s="55" t="s">
        <v>54</v>
      </c>
      <c r="D71" s="29" t="s">
        <v>101</v>
      </c>
      <c r="E71" s="30">
        <f t="shared" ref="E71:E102" si="2">IFERROR(VLOOKUP(D71, 기본학점, 2, FALSE), "")</f>
        <v>4</v>
      </c>
      <c r="F71" s="31">
        <v>3</v>
      </c>
      <c r="G71" s="52"/>
      <c r="H71" s="33"/>
      <c r="I71" s="34"/>
      <c r="J71" s="36"/>
      <c r="K71" s="214"/>
      <c r="L71" s="81"/>
      <c r="M71" s="37"/>
      <c r="N71" s="27"/>
      <c r="O71" s="190"/>
      <c r="P71" s="194"/>
    </row>
    <row r="72" spans="1:16" ht="15" customHeight="1">
      <c r="A72" s="206"/>
      <c r="B72" s="202" t="s">
        <v>32</v>
      </c>
      <c r="C72" s="67" t="s">
        <v>54</v>
      </c>
      <c r="D72" s="42" t="s">
        <v>102</v>
      </c>
      <c r="E72" s="57">
        <f t="shared" si="2"/>
        <v>4</v>
      </c>
      <c r="F72" s="43">
        <v>3</v>
      </c>
      <c r="G72" s="44"/>
      <c r="H72" s="45"/>
      <c r="I72" s="46"/>
      <c r="J72" s="58"/>
      <c r="K72" s="214"/>
      <c r="L72" s="79"/>
      <c r="M72" s="48"/>
      <c r="N72" s="49"/>
      <c r="O72" s="190"/>
      <c r="P72" s="194"/>
    </row>
    <row r="73" spans="1:16" ht="15" customHeight="1">
      <c r="A73" s="206"/>
      <c r="B73" s="203"/>
      <c r="C73" s="55" t="s">
        <v>51</v>
      </c>
      <c r="D73" s="29" t="s">
        <v>103</v>
      </c>
      <c r="E73" s="30">
        <f t="shared" si="2"/>
        <v>4</v>
      </c>
      <c r="F73" s="31">
        <v>3</v>
      </c>
      <c r="G73" s="52"/>
      <c r="H73" s="33"/>
      <c r="I73" s="34"/>
      <c r="J73" s="36"/>
      <c r="K73" s="214"/>
      <c r="L73" s="81"/>
      <c r="M73" s="37"/>
      <c r="N73" s="27"/>
      <c r="O73" s="190"/>
      <c r="P73" s="194"/>
    </row>
    <row r="74" spans="1:16" ht="15" customHeight="1">
      <c r="A74" s="206"/>
      <c r="B74" s="202" t="s">
        <v>38</v>
      </c>
      <c r="C74" s="67" t="s">
        <v>54</v>
      </c>
      <c r="D74" s="42" t="s">
        <v>104</v>
      </c>
      <c r="E74" s="57">
        <f t="shared" si="2"/>
        <v>4</v>
      </c>
      <c r="F74" s="53">
        <v>3</v>
      </c>
      <c r="G74" s="44"/>
      <c r="H74" s="45"/>
      <c r="I74" s="54"/>
      <c r="J74" s="57"/>
      <c r="K74" s="214"/>
      <c r="L74" s="43"/>
      <c r="M74" s="48"/>
      <c r="N74" s="49"/>
      <c r="O74" s="190"/>
      <c r="P74" s="194"/>
    </row>
    <row r="75" spans="1:16" ht="15" customHeight="1">
      <c r="A75" s="206"/>
      <c r="B75" s="203"/>
      <c r="C75" s="55" t="s">
        <v>54</v>
      </c>
      <c r="D75" s="29" t="s">
        <v>105</v>
      </c>
      <c r="E75" s="30">
        <f t="shared" si="2"/>
        <v>4</v>
      </c>
      <c r="F75" s="31">
        <v>3</v>
      </c>
      <c r="G75" s="52"/>
      <c r="H75" s="33"/>
      <c r="I75" s="32"/>
      <c r="J75" s="30"/>
      <c r="K75" s="214"/>
      <c r="L75" s="51"/>
      <c r="M75" s="37"/>
      <c r="N75" s="27"/>
      <c r="O75" s="190"/>
      <c r="P75" s="194"/>
    </row>
    <row r="76" spans="1:16" ht="15" customHeight="1">
      <c r="A76" s="206"/>
      <c r="B76" s="203"/>
      <c r="C76" s="55" t="s">
        <v>54</v>
      </c>
      <c r="D76" s="29" t="s">
        <v>106</v>
      </c>
      <c r="E76" s="30">
        <f t="shared" si="2"/>
        <v>4</v>
      </c>
      <c r="F76" s="31">
        <v>3</v>
      </c>
      <c r="G76" s="52"/>
      <c r="H76" s="33"/>
      <c r="I76" s="32"/>
      <c r="J76" s="30"/>
      <c r="K76" s="214"/>
      <c r="L76" s="51"/>
      <c r="M76" s="37"/>
      <c r="N76" s="27"/>
      <c r="O76" s="190"/>
      <c r="P76" s="194"/>
    </row>
    <row r="77" spans="1:16" ht="15" customHeight="1">
      <c r="A77" s="206"/>
      <c r="B77" s="203"/>
      <c r="C77" s="55" t="s">
        <v>54</v>
      </c>
      <c r="D77" s="29" t="s">
        <v>107</v>
      </c>
      <c r="E77" s="30">
        <f t="shared" si="2"/>
        <v>4</v>
      </c>
      <c r="F77" s="31">
        <v>3</v>
      </c>
      <c r="G77" s="52"/>
      <c r="H77" s="33"/>
      <c r="I77" s="32"/>
      <c r="J77" s="30"/>
      <c r="K77" s="214"/>
      <c r="L77" s="51"/>
      <c r="M77" s="37"/>
      <c r="N77" s="27"/>
      <c r="O77" s="190"/>
      <c r="P77" s="194"/>
    </row>
    <row r="78" spans="1:16" ht="15" customHeight="1">
      <c r="A78" s="206"/>
      <c r="B78" s="204"/>
      <c r="C78" s="38" t="s">
        <v>51</v>
      </c>
      <c r="D78" s="60" t="s">
        <v>108</v>
      </c>
      <c r="E78" s="39">
        <f t="shared" si="2"/>
        <v>4</v>
      </c>
      <c r="F78" s="39">
        <v>3</v>
      </c>
      <c r="G78" s="127"/>
      <c r="H78" s="64"/>
      <c r="I78" s="63"/>
      <c r="J78" s="61"/>
      <c r="K78" s="214"/>
      <c r="L78" s="39"/>
      <c r="M78" s="87"/>
      <c r="N78" s="38"/>
      <c r="O78" s="190"/>
      <c r="P78" s="194"/>
    </row>
    <row r="79" spans="1:16" ht="15" customHeight="1">
      <c r="A79" s="206"/>
      <c r="B79" s="202" t="s">
        <v>43</v>
      </c>
      <c r="C79" s="67" t="s">
        <v>54</v>
      </c>
      <c r="D79" s="42" t="s">
        <v>109</v>
      </c>
      <c r="E79" s="57">
        <f t="shared" si="2"/>
        <v>4</v>
      </c>
      <c r="F79" s="53">
        <v>3</v>
      </c>
      <c r="G79" s="44"/>
      <c r="H79" s="45"/>
      <c r="I79" s="46"/>
      <c r="J79" s="58"/>
      <c r="K79" s="214"/>
      <c r="L79" s="79"/>
      <c r="M79" s="48"/>
      <c r="N79" s="49"/>
      <c r="O79" s="190"/>
      <c r="P79" s="194"/>
    </row>
    <row r="80" spans="1:16" ht="15" customHeight="1">
      <c r="A80" s="206"/>
      <c r="B80" s="203"/>
      <c r="C80" s="55" t="s">
        <v>54</v>
      </c>
      <c r="D80" s="29" t="s">
        <v>110</v>
      </c>
      <c r="E80" s="30">
        <f t="shared" si="2"/>
        <v>4</v>
      </c>
      <c r="F80" s="31">
        <v>3</v>
      </c>
      <c r="G80" s="52"/>
      <c r="H80" s="33"/>
      <c r="I80" s="34"/>
      <c r="J80" s="36"/>
      <c r="K80" s="214"/>
      <c r="L80" s="81"/>
      <c r="M80" s="37"/>
      <c r="N80" s="27"/>
      <c r="O80" s="190"/>
      <c r="P80" s="194"/>
    </row>
    <row r="81" spans="1:16" ht="15" customHeight="1">
      <c r="A81" s="206"/>
      <c r="B81" s="203"/>
      <c r="C81" s="55" t="s">
        <v>54</v>
      </c>
      <c r="D81" s="29" t="s">
        <v>111</v>
      </c>
      <c r="E81" s="30">
        <f t="shared" si="2"/>
        <v>4</v>
      </c>
      <c r="F81" s="31">
        <v>3</v>
      </c>
      <c r="G81" s="52"/>
      <c r="H81" s="33"/>
      <c r="I81" s="34"/>
      <c r="J81" s="36"/>
      <c r="K81" s="214"/>
      <c r="L81" s="81"/>
      <c r="M81" s="37"/>
      <c r="N81" s="27"/>
      <c r="O81" s="190"/>
      <c r="P81" s="194"/>
    </row>
    <row r="82" spans="1:16" ht="15" customHeight="1">
      <c r="A82" s="206"/>
      <c r="B82" s="204"/>
      <c r="C82" s="83" t="s">
        <v>54</v>
      </c>
      <c r="D82" s="60" t="s">
        <v>112</v>
      </c>
      <c r="E82" s="39">
        <f t="shared" si="2"/>
        <v>4</v>
      </c>
      <c r="F82" s="90">
        <v>3</v>
      </c>
      <c r="G82" s="127"/>
      <c r="H82" s="64"/>
      <c r="I82" s="65"/>
      <c r="J82" s="128"/>
      <c r="K82" s="214"/>
      <c r="L82" s="86"/>
      <c r="M82" s="87"/>
      <c r="N82" s="129"/>
      <c r="O82" s="190"/>
      <c r="P82" s="194"/>
    </row>
    <row r="83" spans="1:16" ht="15" customHeight="1">
      <c r="A83" s="206"/>
      <c r="B83" s="40" t="s">
        <v>48</v>
      </c>
      <c r="C83" s="67" t="s">
        <v>54</v>
      </c>
      <c r="D83" s="42" t="s">
        <v>113</v>
      </c>
      <c r="E83" s="57">
        <f t="shared" si="2"/>
        <v>3</v>
      </c>
      <c r="F83" s="43">
        <v>3</v>
      </c>
      <c r="G83" s="44"/>
      <c r="H83" s="45"/>
      <c r="I83" s="46"/>
      <c r="J83" s="58"/>
      <c r="K83" s="214"/>
      <c r="L83" s="79"/>
      <c r="M83" s="48"/>
      <c r="N83" s="67"/>
      <c r="O83" s="190"/>
      <c r="P83" s="194"/>
    </row>
    <row r="84" spans="1:16" ht="15" customHeight="1">
      <c r="A84" s="206"/>
      <c r="B84" s="202" t="s">
        <v>57</v>
      </c>
      <c r="C84" s="67" t="s">
        <v>54</v>
      </c>
      <c r="D84" s="42" t="s">
        <v>114</v>
      </c>
      <c r="E84" s="43">
        <f t="shared" si="2"/>
        <v>3</v>
      </c>
      <c r="F84" s="43">
        <v>3</v>
      </c>
      <c r="G84" s="44"/>
      <c r="H84" s="45"/>
      <c r="I84" s="46"/>
      <c r="J84" s="58"/>
      <c r="K84" s="213" t="s">
        <v>115</v>
      </c>
      <c r="L84" s="79"/>
      <c r="M84" s="48"/>
      <c r="N84" s="67"/>
      <c r="O84" s="190"/>
      <c r="P84" s="194"/>
    </row>
    <row r="85" spans="1:16" ht="15" customHeight="1">
      <c r="A85" s="206"/>
      <c r="B85" s="203"/>
      <c r="C85" s="55" t="s">
        <v>54</v>
      </c>
      <c r="D85" s="29" t="s">
        <v>116</v>
      </c>
      <c r="E85" s="30">
        <f t="shared" si="2"/>
        <v>3</v>
      </c>
      <c r="F85" s="31">
        <v>3</v>
      </c>
      <c r="G85" s="52"/>
      <c r="H85" s="33"/>
      <c r="I85" s="34"/>
      <c r="J85" s="36"/>
      <c r="K85" s="214"/>
      <c r="L85" s="81"/>
      <c r="M85" s="37"/>
      <c r="N85" s="27"/>
      <c r="O85" s="190"/>
      <c r="P85" s="194"/>
    </row>
    <row r="86" spans="1:16" ht="15" customHeight="1">
      <c r="A86" s="206"/>
      <c r="B86" s="40" t="s">
        <v>89</v>
      </c>
      <c r="C86" s="67" t="s">
        <v>54</v>
      </c>
      <c r="D86" s="42" t="s">
        <v>117</v>
      </c>
      <c r="E86" s="57">
        <f t="shared" si="2"/>
        <v>4</v>
      </c>
      <c r="F86" s="53">
        <v>4</v>
      </c>
      <c r="G86" s="44"/>
      <c r="H86" s="45"/>
      <c r="I86" s="46"/>
      <c r="J86" s="58"/>
      <c r="K86" s="213" t="s">
        <v>91</v>
      </c>
      <c r="L86" s="79"/>
      <c r="M86" s="48"/>
      <c r="N86" s="67"/>
      <c r="O86" s="190"/>
      <c r="P86" s="194"/>
    </row>
    <row r="87" spans="1:16" ht="15" customHeight="1">
      <c r="A87" s="206"/>
      <c r="B87" s="202" t="s">
        <v>92</v>
      </c>
      <c r="C87" s="67" t="s">
        <v>54</v>
      </c>
      <c r="D87" s="42" t="s">
        <v>118</v>
      </c>
      <c r="E87" s="57">
        <f t="shared" si="2"/>
        <v>4</v>
      </c>
      <c r="F87" s="43">
        <v>4</v>
      </c>
      <c r="G87" s="44"/>
      <c r="H87" s="45"/>
      <c r="I87" s="46"/>
      <c r="J87" s="58"/>
      <c r="K87" s="214"/>
      <c r="L87" s="79"/>
      <c r="M87" s="48"/>
      <c r="N87" s="67"/>
      <c r="O87" s="190"/>
      <c r="P87" s="194"/>
    </row>
    <row r="88" spans="1:16" ht="15" customHeight="1">
      <c r="A88" s="206"/>
      <c r="B88" s="203"/>
      <c r="C88" s="55" t="s">
        <v>54</v>
      </c>
      <c r="D88" s="29" t="s">
        <v>119</v>
      </c>
      <c r="E88" s="30">
        <f t="shared" si="2"/>
        <v>4</v>
      </c>
      <c r="F88" s="31">
        <v>4</v>
      </c>
      <c r="G88" s="52"/>
      <c r="H88" s="33"/>
      <c r="I88" s="34"/>
      <c r="J88" s="36"/>
      <c r="K88" s="214"/>
      <c r="L88" s="81"/>
      <c r="M88" s="37"/>
      <c r="N88" s="27"/>
      <c r="O88" s="190"/>
      <c r="P88" s="194"/>
    </row>
    <row r="89" spans="1:16" ht="15" customHeight="1">
      <c r="A89" s="206"/>
      <c r="B89" s="203"/>
      <c r="C89" s="55" t="s">
        <v>51</v>
      </c>
      <c r="D89" s="29" t="s">
        <v>120</v>
      </c>
      <c r="E89" s="30">
        <f t="shared" si="2"/>
        <v>4</v>
      </c>
      <c r="F89" s="31">
        <v>4</v>
      </c>
      <c r="G89" s="52"/>
      <c r="H89" s="33"/>
      <c r="I89" s="34"/>
      <c r="J89" s="36"/>
      <c r="K89" s="214"/>
      <c r="L89" s="81"/>
      <c r="M89" s="37"/>
      <c r="N89" s="27"/>
      <c r="O89" s="190"/>
      <c r="P89" s="194"/>
    </row>
    <row r="90" spans="1:16" ht="15" customHeight="1">
      <c r="A90" s="206"/>
      <c r="B90" s="202" t="s">
        <v>121</v>
      </c>
      <c r="C90" s="67" t="s">
        <v>54</v>
      </c>
      <c r="D90" s="42" t="s">
        <v>122</v>
      </c>
      <c r="E90" s="57">
        <f t="shared" si="2"/>
        <v>3</v>
      </c>
      <c r="F90" s="43">
        <v>4</v>
      </c>
      <c r="G90" s="44"/>
      <c r="H90" s="45"/>
      <c r="I90" s="46"/>
      <c r="J90" s="58"/>
      <c r="K90" s="214"/>
      <c r="L90" s="79"/>
      <c r="M90" s="48"/>
      <c r="N90" s="49"/>
      <c r="O90" s="190"/>
      <c r="P90" s="194"/>
    </row>
    <row r="91" spans="1:16" ht="15" customHeight="1">
      <c r="A91" s="206"/>
      <c r="B91" s="203"/>
      <c r="C91" s="55" t="s">
        <v>54</v>
      </c>
      <c r="D91" s="29" t="s">
        <v>123</v>
      </c>
      <c r="E91" s="30">
        <f t="shared" si="2"/>
        <v>3</v>
      </c>
      <c r="F91" s="51">
        <v>4</v>
      </c>
      <c r="G91" s="52"/>
      <c r="H91" s="33"/>
      <c r="I91" s="34"/>
      <c r="J91" s="36"/>
      <c r="K91" s="214"/>
      <c r="L91" s="81"/>
      <c r="M91" s="37"/>
      <c r="N91" s="27"/>
      <c r="O91" s="190"/>
      <c r="P91" s="194"/>
    </row>
    <row r="92" spans="1:16" ht="15" customHeight="1">
      <c r="A92" s="206"/>
      <c r="B92" s="203"/>
      <c r="C92" s="55" t="s">
        <v>22</v>
      </c>
      <c r="D92" s="29" t="s">
        <v>124</v>
      </c>
      <c r="E92" s="30">
        <f t="shared" si="2"/>
        <v>3</v>
      </c>
      <c r="F92" s="51">
        <v>4</v>
      </c>
      <c r="G92" s="52"/>
      <c r="H92" s="33"/>
      <c r="I92" s="34"/>
      <c r="J92" s="36"/>
      <c r="K92" s="215"/>
      <c r="L92" s="121"/>
      <c r="M92" s="37"/>
      <c r="N92" s="27"/>
      <c r="O92" s="190"/>
      <c r="P92" s="194"/>
    </row>
    <row r="93" spans="1:16" ht="15" customHeight="1">
      <c r="A93" s="206"/>
      <c r="B93" s="209" t="s">
        <v>18</v>
      </c>
      <c r="C93" s="77" t="s">
        <v>51</v>
      </c>
      <c r="D93" s="18" t="s">
        <v>125</v>
      </c>
      <c r="E93" s="72">
        <f t="shared" si="2"/>
        <v>4</v>
      </c>
      <c r="F93" s="72">
        <v>3</v>
      </c>
      <c r="G93" s="124"/>
      <c r="H93" s="22"/>
      <c r="I93" s="130"/>
      <c r="J93" s="75"/>
      <c r="K93" s="126"/>
      <c r="L93" s="216" t="s">
        <v>126</v>
      </c>
      <c r="M93" s="76"/>
      <c r="N93" s="77"/>
      <c r="O93" s="190"/>
      <c r="P93" s="194"/>
    </row>
    <row r="94" spans="1:16" ht="15" customHeight="1">
      <c r="A94" s="206"/>
      <c r="B94" s="203"/>
      <c r="C94" s="55" t="s">
        <v>54</v>
      </c>
      <c r="D94" s="29" t="s">
        <v>127</v>
      </c>
      <c r="E94" s="30">
        <f t="shared" si="2"/>
        <v>4</v>
      </c>
      <c r="F94" s="31">
        <v>3</v>
      </c>
      <c r="G94" s="52"/>
      <c r="H94" s="33"/>
      <c r="I94" s="131"/>
      <c r="J94" s="36"/>
      <c r="K94" s="81"/>
      <c r="L94" s="184"/>
      <c r="M94" s="37"/>
      <c r="N94" s="27"/>
      <c r="O94" s="190"/>
      <c r="P94" s="194"/>
    </row>
    <row r="95" spans="1:16" ht="15" customHeight="1">
      <c r="A95" s="206"/>
      <c r="B95" s="202" t="s">
        <v>26</v>
      </c>
      <c r="C95" s="67" t="s">
        <v>51</v>
      </c>
      <c r="D95" s="42" t="s">
        <v>128</v>
      </c>
      <c r="E95" s="57">
        <f t="shared" si="2"/>
        <v>4</v>
      </c>
      <c r="F95" s="43">
        <v>3</v>
      </c>
      <c r="G95" s="44"/>
      <c r="H95" s="45"/>
      <c r="I95" s="132"/>
      <c r="J95" s="58"/>
      <c r="K95" s="79"/>
      <c r="L95" s="184"/>
      <c r="M95" s="48"/>
      <c r="N95" s="49"/>
      <c r="O95" s="190"/>
      <c r="P95" s="194"/>
    </row>
    <row r="96" spans="1:16" ht="15" customHeight="1">
      <c r="A96" s="206"/>
      <c r="B96" s="203"/>
      <c r="C96" s="55" t="s">
        <v>54</v>
      </c>
      <c r="D96" s="29" t="s">
        <v>129</v>
      </c>
      <c r="E96" s="30">
        <f t="shared" si="2"/>
        <v>4</v>
      </c>
      <c r="F96" s="31">
        <v>3</v>
      </c>
      <c r="G96" s="52"/>
      <c r="H96" s="33"/>
      <c r="I96" s="131"/>
      <c r="J96" s="36"/>
      <c r="K96" s="81"/>
      <c r="L96" s="184"/>
      <c r="M96" s="37"/>
      <c r="N96" s="27"/>
      <c r="O96" s="190"/>
      <c r="P96" s="194"/>
    </row>
    <row r="97" spans="1:20" ht="15" customHeight="1">
      <c r="A97" s="206"/>
      <c r="B97" s="202" t="s">
        <v>32</v>
      </c>
      <c r="C97" s="67" t="s">
        <v>54</v>
      </c>
      <c r="D97" s="42" t="s">
        <v>130</v>
      </c>
      <c r="E97" s="57">
        <f t="shared" si="2"/>
        <v>4</v>
      </c>
      <c r="F97" s="43">
        <v>3</v>
      </c>
      <c r="G97" s="44"/>
      <c r="H97" s="45"/>
      <c r="I97" s="84"/>
      <c r="J97" s="47"/>
      <c r="K97" s="79"/>
      <c r="L97" s="184"/>
      <c r="M97" s="48"/>
      <c r="N97" s="67"/>
      <c r="O97" s="190"/>
      <c r="P97" s="194"/>
    </row>
    <row r="98" spans="1:20" ht="15" customHeight="1">
      <c r="A98" s="206"/>
      <c r="B98" s="203"/>
      <c r="C98" s="55" t="s">
        <v>54</v>
      </c>
      <c r="D98" s="29" t="s">
        <v>131</v>
      </c>
      <c r="E98" s="30">
        <f t="shared" si="2"/>
        <v>4</v>
      </c>
      <c r="F98" s="31">
        <v>3</v>
      </c>
      <c r="G98" s="52"/>
      <c r="H98" s="33"/>
      <c r="I98" s="85"/>
      <c r="J98" s="35"/>
      <c r="K98" s="81"/>
      <c r="L98" s="184"/>
      <c r="M98" s="37"/>
      <c r="N98" s="27"/>
      <c r="O98" s="190"/>
      <c r="P98" s="194"/>
    </row>
    <row r="99" spans="1:20" ht="15" customHeight="1">
      <c r="A99" s="206"/>
      <c r="B99" s="202" t="s">
        <v>38</v>
      </c>
      <c r="C99" s="67" t="s">
        <v>51</v>
      </c>
      <c r="D99" s="42" t="s">
        <v>132</v>
      </c>
      <c r="E99" s="57">
        <f t="shared" si="2"/>
        <v>4</v>
      </c>
      <c r="F99" s="53">
        <v>3</v>
      </c>
      <c r="G99" s="44"/>
      <c r="H99" s="45"/>
      <c r="I99" s="54"/>
      <c r="J99" s="57"/>
      <c r="K99" s="43"/>
      <c r="L99" s="184"/>
      <c r="M99" s="48"/>
      <c r="N99" s="49"/>
      <c r="O99" s="190"/>
      <c r="P99" s="194"/>
    </row>
    <row r="100" spans="1:20" ht="15" customHeight="1">
      <c r="A100" s="206"/>
      <c r="B100" s="203"/>
      <c r="C100" s="55" t="s">
        <v>51</v>
      </c>
      <c r="D100" s="29" t="s">
        <v>133</v>
      </c>
      <c r="E100" s="30">
        <f t="shared" si="2"/>
        <v>4</v>
      </c>
      <c r="F100" s="31">
        <v>3</v>
      </c>
      <c r="G100" s="52"/>
      <c r="H100" s="33"/>
      <c r="I100" s="32"/>
      <c r="J100" s="30"/>
      <c r="K100" s="51"/>
      <c r="L100" s="184"/>
      <c r="M100" s="37"/>
      <c r="N100" s="27"/>
      <c r="O100" s="190"/>
      <c r="P100" s="194"/>
    </row>
    <row r="101" spans="1:20" ht="15" customHeight="1">
      <c r="A101" s="206"/>
      <c r="B101" s="203"/>
      <c r="C101" s="55" t="s">
        <v>51</v>
      </c>
      <c r="D101" s="29" t="s">
        <v>134</v>
      </c>
      <c r="E101" s="30">
        <f t="shared" si="2"/>
        <v>4</v>
      </c>
      <c r="F101" s="31">
        <v>3</v>
      </c>
      <c r="G101" s="52"/>
      <c r="H101" s="33"/>
      <c r="I101" s="32"/>
      <c r="J101" s="30"/>
      <c r="K101" s="51"/>
      <c r="L101" s="184"/>
      <c r="M101" s="37"/>
      <c r="N101" s="27"/>
      <c r="O101" s="190"/>
      <c r="P101" s="194"/>
    </row>
    <row r="102" spans="1:20" ht="15" customHeight="1">
      <c r="A102" s="206"/>
      <c r="B102" s="203"/>
      <c r="C102" s="55" t="s">
        <v>51</v>
      </c>
      <c r="D102" s="29" t="s">
        <v>135</v>
      </c>
      <c r="E102" s="30">
        <f t="shared" si="2"/>
        <v>4</v>
      </c>
      <c r="F102" s="31">
        <v>3</v>
      </c>
      <c r="G102" s="52"/>
      <c r="H102" s="33"/>
      <c r="I102" s="32"/>
      <c r="J102" s="30"/>
      <c r="K102" s="51"/>
      <c r="L102" s="184"/>
      <c r="M102" s="37"/>
      <c r="N102" s="27"/>
      <c r="O102" s="190"/>
      <c r="P102" s="194"/>
    </row>
    <row r="103" spans="1:20" ht="15" customHeight="1">
      <c r="A103" s="206"/>
      <c r="B103" s="204"/>
      <c r="C103" s="38" t="s">
        <v>51</v>
      </c>
      <c r="D103" s="60" t="s">
        <v>136</v>
      </c>
      <c r="E103" s="39">
        <f t="shared" ref="E103:E134" si="3">IFERROR(VLOOKUP(D103, 기본학점, 2, FALSE), "")</f>
        <v>4</v>
      </c>
      <c r="F103" s="39">
        <v>3</v>
      </c>
      <c r="G103" s="127"/>
      <c r="H103" s="64"/>
      <c r="I103" s="63"/>
      <c r="J103" s="61"/>
      <c r="K103" s="39"/>
      <c r="L103" s="184"/>
      <c r="M103" s="87"/>
      <c r="N103" s="38"/>
      <c r="O103" s="190"/>
      <c r="P103" s="194"/>
    </row>
    <row r="104" spans="1:20" ht="15" customHeight="1">
      <c r="A104" s="206"/>
      <c r="B104" s="202" t="s">
        <v>43</v>
      </c>
      <c r="C104" s="67" t="s">
        <v>51</v>
      </c>
      <c r="D104" s="42" t="s">
        <v>137</v>
      </c>
      <c r="E104" s="57">
        <f t="shared" si="3"/>
        <v>4</v>
      </c>
      <c r="F104" s="53">
        <v>3</v>
      </c>
      <c r="G104" s="44"/>
      <c r="H104" s="45"/>
      <c r="I104" s="84"/>
      <c r="J104" s="47"/>
      <c r="K104" s="79"/>
      <c r="L104" s="184"/>
      <c r="M104" s="48"/>
      <c r="N104" s="49"/>
      <c r="O104" s="190"/>
      <c r="P104" s="194"/>
    </row>
    <row r="105" spans="1:20" ht="15" customHeight="1">
      <c r="A105" s="206"/>
      <c r="B105" s="203"/>
      <c r="C105" s="55" t="s">
        <v>51</v>
      </c>
      <c r="D105" s="29" t="s">
        <v>138</v>
      </c>
      <c r="E105" s="30">
        <f t="shared" si="3"/>
        <v>4</v>
      </c>
      <c r="F105" s="31">
        <v>3</v>
      </c>
      <c r="G105" s="52"/>
      <c r="H105" s="33"/>
      <c r="I105" s="85"/>
      <c r="J105" s="35"/>
      <c r="K105" s="81"/>
      <c r="L105" s="184"/>
      <c r="M105" s="37"/>
      <c r="N105" s="27"/>
      <c r="O105" s="190"/>
      <c r="P105" s="194"/>
    </row>
    <row r="106" spans="1:20" ht="15" customHeight="1">
      <c r="A106" s="206"/>
      <c r="B106" s="203"/>
      <c r="C106" s="55" t="s">
        <v>51</v>
      </c>
      <c r="D106" s="29" t="s">
        <v>139</v>
      </c>
      <c r="E106" s="30">
        <f t="shared" si="3"/>
        <v>4</v>
      </c>
      <c r="F106" s="31">
        <v>3</v>
      </c>
      <c r="G106" s="52"/>
      <c r="H106" s="33"/>
      <c r="I106" s="85"/>
      <c r="J106" s="35"/>
      <c r="K106" s="81"/>
      <c r="L106" s="184"/>
      <c r="M106" s="37"/>
      <c r="N106" s="27"/>
      <c r="O106" s="190"/>
      <c r="P106" s="194"/>
    </row>
    <row r="107" spans="1:20" ht="15" customHeight="1">
      <c r="A107" s="206"/>
      <c r="B107" s="40" t="s">
        <v>48</v>
      </c>
      <c r="C107" s="67" t="s">
        <v>54</v>
      </c>
      <c r="D107" s="42" t="s">
        <v>113</v>
      </c>
      <c r="E107" s="57">
        <f t="shared" si="3"/>
        <v>3</v>
      </c>
      <c r="F107" s="43">
        <v>3</v>
      </c>
      <c r="G107" s="44"/>
      <c r="H107" s="45"/>
      <c r="I107" s="84"/>
      <c r="J107" s="47"/>
      <c r="K107" s="133"/>
      <c r="L107" s="185"/>
      <c r="M107" s="48"/>
      <c r="N107" s="67"/>
      <c r="O107" s="190"/>
      <c r="P107" s="194"/>
    </row>
    <row r="108" spans="1:20" ht="15" customHeight="1">
      <c r="A108" s="206"/>
      <c r="B108" s="202" t="s">
        <v>57</v>
      </c>
      <c r="C108" s="67" t="s">
        <v>51</v>
      </c>
      <c r="D108" s="42" t="s">
        <v>140</v>
      </c>
      <c r="E108" s="57">
        <f t="shared" si="3"/>
        <v>3</v>
      </c>
      <c r="F108" s="43">
        <v>3</v>
      </c>
      <c r="G108" s="44"/>
      <c r="H108" s="45"/>
      <c r="I108" s="46"/>
      <c r="J108" s="47"/>
      <c r="K108" s="79"/>
      <c r="L108" s="183" t="s">
        <v>115</v>
      </c>
      <c r="M108" s="48"/>
      <c r="N108" s="49"/>
      <c r="O108" s="190"/>
      <c r="P108" s="194"/>
    </row>
    <row r="109" spans="1:20" ht="15" customHeight="1">
      <c r="A109" s="206"/>
      <c r="B109" s="203"/>
      <c r="C109" s="55" t="s">
        <v>51</v>
      </c>
      <c r="D109" s="134" t="s">
        <v>141</v>
      </c>
      <c r="E109" s="30">
        <f t="shared" si="3"/>
        <v>3</v>
      </c>
      <c r="F109" s="31">
        <v>3</v>
      </c>
      <c r="G109" s="52"/>
      <c r="H109" s="33"/>
      <c r="I109" s="85"/>
      <c r="J109" s="35"/>
      <c r="K109" s="86"/>
      <c r="L109" s="185"/>
      <c r="M109" s="37"/>
      <c r="N109" s="27"/>
      <c r="O109" s="190"/>
      <c r="P109" s="194"/>
    </row>
    <row r="110" spans="1:20" ht="15" customHeight="1">
      <c r="A110" s="206"/>
      <c r="B110" s="202" t="s">
        <v>92</v>
      </c>
      <c r="C110" s="67" t="s">
        <v>51</v>
      </c>
      <c r="D110" s="42" t="s">
        <v>142</v>
      </c>
      <c r="E110" s="57">
        <f t="shared" si="3"/>
        <v>4</v>
      </c>
      <c r="F110" s="53">
        <v>4</v>
      </c>
      <c r="G110" s="44"/>
      <c r="H110" s="45"/>
      <c r="I110" s="84"/>
      <c r="J110" s="47"/>
      <c r="K110" s="79"/>
      <c r="L110" s="195" t="s">
        <v>91</v>
      </c>
      <c r="M110" s="48"/>
      <c r="N110" s="67"/>
      <c r="O110" s="190"/>
      <c r="P110" s="194"/>
    </row>
    <row r="111" spans="1:20" ht="15" customHeight="1">
      <c r="A111" s="206"/>
      <c r="B111" s="203"/>
      <c r="C111" s="55" t="s">
        <v>51</v>
      </c>
      <c r="D111" s="29" t="s">
        <v>143</v>
      </c>
      <c r="E111" s="30">
        <f t="shared" si="3"/>
        <v>4</v>
      </c>
      <c r="F111" s="31">
        <v>4</v>
      </c>
      <c r="G111" s="52"/>
      <c r="H111" s="33"/>
      <c r="I111" s="85"/>
      <c r="J111" s="35"/>
      <c r="K111" s="81"/>
      <c r="L111" s="184"/>
      <c r="M111" s="37"/>
      <c r="N111" s="27"/>
      <c r="O111" s="190"/>
      <c r="P111" s="194"/>
      <c r="T111" s="135" t="s">
        <v>144</v>
      </c>
    </row>
    <row r="112" spans="1:20" ht="15" customHeight="1">
      <c r="A112" s="206"/>
      <c r="B112" s="203"/>
      <c r="C112" s="55" t="s">
        <v>54</v>
      </c>
      <c r="D112" s="29" t="s">
        <v>145</v>
      </c>
      <c r="E112" s="30">
        <f t="shared" si="3"/>
        <v>4</v>
      </c>
      <c r="F112" s="31">
        <v>4</v>
      </c>
      <c r="G112" s="52"/>
      <c r="H112" s="33"/>
      <c r="I112" s="85"/>
      <c r="J112" s="35"/>
      <c r="K112" s="81"/>
      <c r="L112" s="184"/>
      <c r="M112" s="37"/>
      <c r="N112" s="27"/>
      <c r="O112" s="190"/>
      <c r="P112" s="194"/>
    </row>
    <row r="113" spans="1:17" ht="15" customHeight="1">
      <c r="A113" s="206"/>
      <c r="B113" s="202" t="s">
        <v>121</v>
      </c>
      <c r="C113" s="67" t="s">
        <v>54</v>
      </c>
      <c r="D113" s="42" t="s">
        <v>146</v>
      </c>
      <c r="E113" s="57">
        <f t="shared" si="3"/>
        <v>3</v>
      </c>
      <c r="F113" s="43">
        <v>4</v>
      </c>
      <c r="G113" s="44"/>
      <c r="H113" s="45"/>
      <c r="I113" s="84"/>
      <c r="J113" s="47"/>
      <c r="K113" s="79"/>
      <c r="L113" s="184"/>
      <c r="M113" s="48"/>
      <c r="N113" s="67"/>
      <c r="O113" s="190"/>
      <c r="P113" s="194"/>
    </row>
    <row r="114" spans="1:17" ht="15" customHeight="1">
      <c r="A114" s="206"/>
      <c r="B114" s="203"/>
      <c r="C114" s="55" t="s">
        <v>54</v>
      </c>
      <c r="D114" s="29" t="s">
        <v>147</v>
      </c>
      <c r="E114" s="30">
        <f t="shared" si="3"/>
        <v>3</v>
      </c>
      <c r="F114" s="51">
        <v>4</v>
      </c>
      <c r="G114" s="52"/>
      <c r="H114" s="33"/>
      <c r="I114" s="85"/>
      <c r="J114" s="35"/>
      <c r="K114" s="81"/>
      <c r="L114" s="184"/>
      <c r="M114" s="37"/>
      <c r="N114" s="27"/>
      <c r="O114" s="190"/>
      <c r="P114" s="194"/>
    </row>
    <row r="115" spans="1:17" ht="15" customHeight="1">
      <c r="A115" s="206"/>
      <c r="B115" s="203"/>
      <c r="C115" s="55" t="s">
        <v>54</v>
      </c>
      <c r="D115" s="29" t="s">
        <v>148</v>
      </c>
      <c r="E115" s="30">
        <f t="shared" si="3"/>
        <v>3</v>
      </c>
      <c r="F115" s="51">
        <v>4</v>
      </c>
      <c r="G115" s="52"/>
      <c r="H115" s="33"/>
      <c r="I115" s="85"/>
      <c r="J115" s="35"/>
      <c r="K115" s="81"/>
      <c r="L115" s="184"/>
      <c r="M115" s="37"/>
      <c r="N115" s="27"/>
      <c r="O115" s="190"/>
      <c r="P115" s="194"/>
    </row>
    <row r="116" spans="1:17" ht="15" customHeight="1">
      <c r="A116" s="207"/>
      <c r="B116" s="208"/>
      <c r="C116" s="136" t="s">
        <v>51</v>
      </c>
      <c r="D116" s="137" t="s">
        <v>149</v>
      </c>
      <c r="E116" s="19">
        <f t="shared" si="3"/>
        <v>3</v>
      </c>
      <c r="F116" s="138">
        <v>4</v>
      </c>
      <c r="G116" s="139"/>
      <c r="H116" s="120"/>
      <c r="I116" s="140"/>
      <c r="J116" s="141"/>
      <c r="K116" s="121"/>
      <c r="L116" s="217"/>
      <c r="M116" s="142"/>
      <c r="N116" s="27"/>
      <c r="O116" s="191"/>
      <c r="P116" s="200"/>
    </row>
    <row r="117" spans="1:17" ht="14.25" hidden="1" customHeight="1">
      <c r="A117" s="143"/>
      <c r="B117" s="3"/>
      <c r="C117" s="144"/>
      <c r="D117" s="145"/>
      <c r="E117" s="146" t="str">
        <f t="shared" si="3"/>
        <v/>
      </c>
      <c r="F117" s="90"/>
      <c r="G117" s="91"/>
      <c r="H117" s="92"/>
      <c r="I117" s="94"/>
      <c r="J117" s="95"/>
      <c r="K117" s="3"/>
      <c r="L117" s="95"/>
      <c r="M117" s="80"/>
      <c r="N117" s="80"/>
      <c r="O117" s="147"/>
      <c r="P117" s="148"/>
    </row>
    <row r="118" spans="1:17" ht="17.25" customHeight="1">
      <c r="A118" s="251" t="s">
        <v>150</v>
      </c>
      <c r="B118" s="252"/>
      <c r="C118" s="252"/>
      <c r="D118" s="252"/>
      <c r="E118" s="222"/>
      <c r="F118" s="149"/>
      <c r="G118" s="150">
        <f>SUM(G7:G116)</f>
        <v>28</v>
      </c>
      <c r="H118" s="151">
        <f>SUM(H7:H117)</f>
        <v>28</v>
      </c>
      <c r="I118" s="150">
        <v>30</v>
      </c>
      <c r="J118" s="151">
        <v>30</v>
      </c>
      <c r="K118" s="152">
        <v>29</v>
      </c>
      <c r="L118" s="117">
        <v>29</v>
      </c>
      <c r="M118" s="74"/>
      <c r="N118" s="74"/>
      <c r="O118" s="116">
        <f t="shared" ref="O118:O119" si="4">SUM(G118:L118)</f>
        <v>174</v>
      </c>
      <c r="P118" s="153">
        <f>SUM(P7:P116)</f>
        <v>68</v>
      </c>
      <c r="Q118" s="154"/>
    </row>
    <row r="119" spans="1:17" ht="14.25" customHeight="1">
      <c r="A119" s="253" t="s">
        <v>151</v>
      </c>
      <c r="B119" s="254"/>
      <c r="C119" s="254"/>
      <c r="D119" s="254"/>
      <c r="E119" s="255"/>
      <c r="F119" s="133">
        <v>18</v>
      </c>
      <c r="G119" s="94">
        <v>4</v>
      </c>
      <c r="H119" s="95">
        <v>4</v>
      </c>
      <c r="I119" s="155">
        <v>2</v>
      </c>
      <c r="J119" s="95">
        <v>2</v>
      </c>
      <c r="K119" s="155">
        <v>3</v>
      </c>
      <c r="L119" s="50">
        <v>3</v>
      </c>
      <c r="M119" s="156"/>
      <c r="N119" s="94"/>
      <c r="O119" s="94">
        <f t="shared" si="4"/>
        <v>18</v>
      </c>
      <c r="P119" s="157">
        <v>18</v>
      </c>
    </row>
    <row r="120" spans="1:17" ht="15" customHeight="1">
      <c r="A120" s="253" t="s">
        <v>152</v>
      </c>
      <c r="B120" s="254"/>
      <c r="C120" s="254"/>
      <c r="D120" s="254"/>
      <c r="E120" s="254"/>
      <c r="F120" s="255"/>
      <c r="G120" s="158">
        <f t="shared" ref="G120:L120" si="5">SUM(G118:G119)</f>
        <v>32</v>
      </c>
      <c r="H120" s="159">
        <f t="shared" si="5"/>
        <v>32</v>
      </c>
      <c r="I120" s="158">
        <f t="shared" si="5"/>
        <v>32</v>
      </c>
      <c r="J120" s="159">
        <f t="shared" si="5"/>
        <v>32</v>
      </c>
      <c r="K120" s="158">
        <f t="shared" si="5"/>
        <v>32</v>
      </c>
      <c r="L120" s="159">
        <f t="shared" si="5"/>
        <v>32</v>
      </c>
      <c r="M120" s="133"/>
      <c r="N120" s="160"/>
      <c r="O120" s="218">
        <f>SUM(G120:M120)</f>
        <v>192</v>
      </c>
      <c r="P120" s="219"/>
    </row>
    <row r="121" spans="1:17" ht="15" customHeight="1">
      <c r="A121" s="253" t="s">
        <v>153</v>
      </c>
      <c r="B121" s="254"/>
      <c r="C121" s="254"/>
      <c r="D121" s="254"/>
      <c r="E121" s="254"/>
      <c r="F121" s="255"/>
      <c r="G121" s="160">
        <v>9</v>
      </c>
      <c r="H121" s="159">
        <v>9</v>
      </c>
      <c r="I121" s="158">
        <v>8</v>
      </c>
      <c r="J121" s="159">
        <v>8</v>
      </c>
      <c r="K121" s="158">
        <v>9</v>
      </c>
      <c r="L121" s="161">
        <v>10</v>
      </c>
      <c r="M121" s="133"/>
      <c r="N121" s="160"/>
      <c r="O121" s="220"/>
      <c r="P121" s="219"/>
    </row>
    <row r="122" spans="1:17" ht="17.25" customHeight="1">
      <c r="A122" s="242" t="s">
        <v>154</v>
      </c>
      <c r="B122" s="243"/>
      <c r="C122" s="243"/>
      <c r="D122" s="243"/>
      <c r="E122" s="243"/>
      <c r="F122" s="211"/>
      <c r="G122" s="210">
        <f>SUM(G120:H120)</f>
        <v>64</v>
      </c>
      <c r="H122" s="211"/>
      <c r="I122" s="210">
        <f>SUM(I120:J120)</f>
        <v>64</v>
      </c>
      <c r="J122" s="211"/>
      <c r="K122" s="210">
        <f>SUM(K120:L120)</f>
        <v>64</v>
      </c>
      <c r="L122" s="211"/>
      <c r="M122" s="162"/>
      <c r="N122" s="163"/>
      <c r="O122" s="210">
        <f>SUM(G122:M122)</f>
        <v>192</v>
      </c>
      <c r="P122" s="212"/>
    </row>
    <row r="123" spans="1:17" ht="14.25" customHeight="1">
      <c r="A123" s="244" t="s">
        <v>155</v>
      </c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6"/>
    </row>
    <row r="124" spans="1:17" ht="14.25" customHeight="1">
      <c r="A124" s="247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48"/>
    </row>
    <row r="125" spans="1:17" ht="14.25" customHeight="1">
      <c r="A125" s="247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48"/>
    </row>
    <row r="126" spans="1:17" ht="14.25" customHeight="1">
      <c r="A126" s="247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48"/>
    </row>
    <row r="127" spans="1:17" ht="14.25" customHeight="1">
      <c r="A127" s="247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48"/>
    </row>
    <row r="128" spans="1:17" ht="14.25" customHeight="1">
      <c r="A128" s="247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48"/>
    </row>
    <row r="129" spans="1:19" ht="14.25" customHeight="1">
      <c r="A129" s="247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48"/>
      <c r="S129" s="164"/>
    </row>
    <row r="130" spans="1:19" ht="14.25" customHeight="1">
      <c r="A130" s="247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48"/>
    </row>
    <row r="131" spans="1:19" ht="15" customHeight="1">
      <c r="A131" s="249"/>
      <c r="B131" s="230"/>
      <c r="C131" s="230"/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50"/>
    </row>
    <row r="132" spans="1:19" ht="14.25" customHeight="1">
      <c r="A132" s="165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</row>
    <row r="133" spans="1:19" ht="14.25" customHeight="1">
      <c r="A133" s="165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</row>
    <row r="134" spans="1:19" ht="14.25" customHeight="1">
      <c r="A134" s="165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</row>
    <row r="135" spans="1:19" ht="14.25" customHeight="1">
      <c r="A135" s="165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</row>
    <row r="136" spans="1:19" ht="14.25" customHeight="1">
      <c r="A136" s="165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</row>
    <row r="137" spans="1:19" ht="14.25" customHeight="1">
      <c r="A137" s="165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</row>
    <row r="138" spans="1:19" ht="14.25" customHeight="1">
      <c r="A138" s="165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</row>
    <row r="139" spans="1:19" ht="14.25" customHeight="1">
      <c r="A139" s="165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</row>
    <row r="140" spans="1:19" ht="14.25" customHeight="1">
      <c r="A140" s="165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</row>
    <row r="141" spans="1:19" ht="14.25" customHeight="1">
      <c r="A141" s="165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</row>
    <row r="142" spans="1:19" ht="14.25" customHeight="1">
      <c r="A142" s="165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</row>
    <row r="143" spans="1:19" ht="14.25" customHeight="1">
      <c r="A143" s="165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</row>
    <row r="144" spans="1:19" ht="14.25" customHeight="1">
      <c r="A144" s="165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</row>
    <row r="145" spans="1:16" ht="14.25" customHeight="1">
      <c r="A145" s="165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</row>
    <row r="146" spans="1:16" ht="14.25" customHeight="1">
      <c r="A146" s="165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</row>
    <row r="147" spans="1:16" ht="14.25" customHeight="1">
      <c r="A147" s="165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</row>
    <row r="148" spans="1:16" ht="14.25" customHeight="1">
      <c r="A148" s="165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</row>
    <row r="149" spans="1:16" ht="14.25" customHeight="1">
      <c r="A149" s="165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</row>
    <row r="150" spans="1:16" ht="14.25" customHeight="1">
      <c r="A150" s="165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</row>
    <row r="151" spans="1:16" ht="14.25" customHeight="1">
      <c r="A151" s="165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</row>
    <row r="152" spans="1:16" ht="14.25" customHeight="1">
      <c r="A152" s="165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</row>
    <row r="153" spans="1:16" ht="14.25" customHeight="1">
      <c r="A153" s="165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</row>
    <row r="154" spans="1:16" ht="14.25" customHeight="1">
      <c r="A154" s="165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</row>
    <row r="155" spans="1:16" ht="14.25" customHeight="1">
      <c r="A155" s="165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</row>
    <row r="156" spans="1:16" ht="14.25" customHeight="1">
      <c r="A156" s="165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</row>
    <row r="157" spans="1:16" ht="14.25" customHeight="1">
      <c r="A157" s="165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</row>
    <row r="158" spans="1:16" ht="14.25" customHeight="1">
      <c r="A158" s="165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</row>
    <row r="159" spans="1:16" ht="14.25" customHeight="1">
      <c r="A159" s="165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</row>
    <row r="160" spans="1:16" ht="14.25" customHeight="1">
      <c r="A160" s="165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</row>
    <row r="161" spans="1:16" ht="14.25" customHeight="1">
      <c r="A161" s="165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</row>
    <row r="162" spans="1:16" ht="14.25" customHeight="1">
      <c r="A162" s="165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</row>
    <row r="163" spans="1:16" ht="14.25" customHeight="1">
      <c r="A163" s="165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</row>
    <row r="164" spans="1:16" ht="14.25" customHeight="1">
      <c r="A164" s="165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</row>
    <row r="165" spans="1:16" ht="14.25" customHeight="1">
      <c r="A165" s="165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</row>
    <row r="166" spans="1:16" ht="14.25" customHeight="1">
      <c r="A166" s="165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</row>
    <row r="167" spans="1:16" ht="14.25" customHeight="1">
      <c r="A167" s="165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</row>
    <row r="168" spans="1:16" ht="14.25" customHeight="1">
      <c r="A168" s="165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</row>
    <row r="169" spans="1:16" ht="14.25" customHeight="1">
      <c r="A169" s="165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</row>
    <row r="170" spans="1:16" ht="14.25" customHeight="1">
      <c r="A170" s="165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</row>
    <row r="171" spans="1:16" ht="14.25" customHeight="1">
      <c r="A171" s="165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</row>
    <row r="172" spans="1:16" ht="14.25" customHeight="1">
      <c r="A172" s="165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</row>
    <row r="173" spans="1:16" ht="14.25" customHeight="1">
      <c r="A173" s="165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</row>
    <row r="174" spans="1:16" ht="14.25" customHeight="1">
      <c r="A174" s="165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</row>
    <row r="175" spans="1:16" ht="14.25" customHeight="1">
      <c r="A175" s="165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</row>
    <row r="176" spans="1:16" ht="14.25" customHeight="1">
      <c r="A176" s="165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</row>
    <row r="177" spans="1:16" ht="14.25" customHeight="1">
      <c r="A177" s="165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</row>
    <row r="178" spans="1:16" ht="14.25" customHeight="1">
      <c r="A178" s="165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</row>
    <row r="179" spans="1:16" ht="14.25" customHeight="1">
      <c r="A179" s="165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</row>
    <row r="180" spans="1:16" ht="14.25" customHeight="1">
      <c r="A180" s="165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</row>
    <row r="181" spans="1:16" ht="14.25" customHeight="1">
      <c r="A181" s="165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</row>
    <row r="182" spans="1:16" ht="14.25" customHeight="1">
      <c r="A182" s="165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</row>
    <row r="183" spans="1:16" ht="14.25" customHeight="1">
      <c r="A183" s="165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</row>
    <row r="184" spans="1:16" ht="14.25" customHeight="1">
      <c r="A184" s="165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</row>
    <row r="185" spans="1:16" ht="14.25" customHeight="1">
      <c r="A185" s="165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</row>
    <row r="186" spans="1:16" ht="14.25" customHeight="1">
      <c r="A186" s="165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</row>
    <row r="187" spans="1:16" ht="14.25" customHeight="1">
      <c r="A187" s="165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</row>
    <row r="188" spans="1:16" ht="14.25" customHeight="1">
      <c r="A188" s="165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</row>
    <row r="189" spans="1:16" ht="14.25" customHeight="1">
      <c r="A189" s="165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</row>
    <row r="190" spans="1:16" ht="14.25" customHeight="1">
      <c r="A190" s="165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</row>
    <row r="191" spans="1:16" ht="14.25" customHeight="1">
      <c r="A191" s="165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</row>
    <row r="192" spans="1:16" ht="14.25" customHeight="1">
      <c r="A192" s="165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</row>
    <row r="193" spans="1:16" ht="14.25" customHeight="1">
      <c r="A193" s="165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</row>
    <row r="194" spans="1:16" ht="14.25" customHeight="1">
      <c r="A194" s="165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</row>
    <row r="195" spans="1:16" ht="14.25" customHeight="1">
      <c r="A195" s="165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</row>
    <row r="196" spans="1:16" ht="14.25" customHeight="1">
      <c r="A196" s="165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</row>
    <row r="197" spans="1:16" ht="14.25" customHeight="1">
      <c r="A197" s="165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</row>
    <row r="198" spans="1:16" ht="14.25" customHeight="1">
      <c r="A198" s="165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</row>
    <row r="199" spans="1:16" ht="14.25" customHeight="1">
      <c r="A199" s="165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</row>
    <row r="200" spans="1:16" ht="14.25" customHeight="1">
      <c r="A200" s="165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</row>
    <row r="201" spans="1:16" ht="14.25" customHeight="1">
      <c r="A201" s="165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</row>
    <row r="202" spans="1:16" ht="14.25" customHeight="1">
      <c r="A202" s="165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</row>
    <row r="203" spans="1:16" ht="14.25" customHeight="1">
      <c r="A203" s="165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</row>
    <row r="204" spans="1:16" ht="14.25" customHeight="1">
      <c r="A204" s="165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</row>
    <row r="205" spans="1:16" ht="14.25" customHeight="1">
      <c r="A205" s="165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</row>
    <row r="206" spans="1:16" ht="14.25" customHeight="1">
      <c r="A206" s="165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</row>
    <row r="207" spans="1:16" ht="14.25" customHeight="1">
      <c r="A207" s="165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</row>
    <row r="208" spans="1:16" ht="14.25" customHeight="1">
      <c r="A208" s="165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</row>
    <row r="209" spans="1:16" ht="14.25" customHeight="1">
      <c r="A209" s="165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</row>
    <row r="210" spans="1:16" ht="14.25" customHeight="1">
      <c r="A210" s="165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</row>
    <row r="211" spans="1:16" ht="14.25" customHeight="1">
      <c r="A211" s="165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</row>
    <row r="212" spans="1:16" ht="14.25" customHeight="1">
      <c r="A212" s="165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</row>
    <row r="213" spans="1:16" ht="14.25" customHeight="1">
      <c r="A213" s="165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</row>
    <row r="214" spans="1:16" ht="14.25" customHeight="1">
      <c r="A214" s="165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</row>
    <row r="215" spans="1:16" ht="14.25" customHeight="1">
      <c r="A215" s="165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</row>
    <row r="216" spans="1:16" ht="14.25" customHeight="1">
      <c r="A216" s="165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</row>
    <row r="217" spans="1:16" ht="14.25" customHeight="1">
      <c r="A217" s="165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</row>
    <row r="218" spans="1:16" ht="14.25" customHeight="1">
      <c r="A218" s="165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</row>
    <row r="219" spans="1:16" ht="14.25" customHeight="1">
      <c r="A219" s="165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</row>
    <row r="220" spans="1:16" ht="14.25" customHeight="1">
      <c r="A220" s="165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</row>
    <row r="221" spans="1:16" ht="14.25" customHeight="1">
      <c r="A221" s="165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</row>
    <row r="222" spans="1:16" ht="14.25" customHeight="1">
      <c r="A222" s="165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</row>
    <row r="223" spans="1:16" ht="14.25" customHeight="1">
      <c r="A223" s="165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</row>
    <row r="224" spans="1:16" ht="14.25" customHeight="1">
      <c r="A224" s="165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</row>
    <row r="225" spans="1:16" ht="14.25" customHeight="1">
      <c r="A225" s="165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</row>
    <row r="226" spans="1:16" ht="14.25" customHeight="1">
      <c r="A226" s="165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</row>
    <row r="227" spans="1:16" ht="14.25" customHeight="1">
      <c r="A227" s="165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</row>
    <row r="228" spans="1:16" ht="14.25" customHeight="1">
      <c r="A228" s="165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</row>
    <row r="229" spans="1:16" ht="14.25" customHeight="1">
      <c r="A229" s="165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</row>
    <row r="230" spans="1:16" ht="14.25" customHeight="1">
      <c r="A230" s="165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</row>
    <row r="231" spans="1:16" ht="14.25" customHeight="1">
      <c r="A231" s="165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</row>
    <row r="232" spans="1:16" ht="14.25" customHeight="1">
      <c r="A232" s="165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</row>
    <row r="233" spans="1:16" ht="14.25" customHeight="1">
      <c r="A233" s="165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</row>
    <row r="234" spans="1:16" ht="14.25" customHeight="1">
      <c r="A234" s="165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</row>
    <row r="235" spans="1:16" ht="14.25" customHeight="1">
      <c r="A235" s="165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</row>
    <row r="236" spans="1:16" ht="14.25" customHeight="1">
      <c r="A236" s="165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</row>
    <row r="237" spans="1:16" ht="14.25" customHeight="1">
      <c r="A237" s="165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</row>
    <row r="238" spans="1:16" ht="14.25" customHeight="1">
      <c r="A238" s="165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</row>
    <row r="239" spans="1:16" ht="14.25" customHeight="1">
      <c r="A239" s="165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</row>
    <row r="240" spans="1:16" ht="14.25" customHeight="1">
      <c r="A240" s="165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</row>
    <row r="241" spans="1:16" ht="14.25" customHeight="1">
      <c r="A241" s="165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</row>
    <row r="242" spans="1:16" ht="14.25" customHeight="1">
      <c r="A242" s="165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</row>
    <row r="243" spans="1:16" ht="14.25" customHeight="1">
      <c r="A243" s="165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</row>
    <row r="244" spans="1:16" ht="14.25" customHeight="1">
      <c r="A244" s="165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</row>
    <row r="245" spans="1:16" ht="14.25" customHeight="1">
      <c r="A245" s="165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</row>
    <row r="246" spans="1:16" ht="14.25" customHeight="1">
      <c r="A246" s="165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</row>
    <row r="247" spans="1:16" ht="14.25" customHeight="1">
      <c r="A247" s="165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</row>
    <row r="248" spans="1:16" ht="14.25" customHeight="1">
      <c r="A248" s="165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</row>
    <row r="249" spans="1:16" ht="14.25" customHeight="1">
      <c r="A249" s="165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</row>
    <row r="250" spans="1:16" ht="14.25" customHeight="1">
      <c r="A250" s="165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</row>
    <row r="251" spans="1:16" ht="14.25" customHeight="1">
      <c r="A251" s="165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</row>
    <row r="252" spans="1:16" ht="14.25" customHeight="1">
      <c r="A252" s="165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</row>
    <row r="253" spans="1:16" ht="14.25" customHeight="1">
      <c r="A253" s="165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</row>
    <row r="254" spans="1:16" ht="14.25" customHeight="1">
      <c r="A254" s="165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</row>
    <row r="255" spans="1:16" ht="14.25" customHeight="1">
      <c r="A255" s="165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</row>
    <row r="256" spans="1:16" ht="14.25" customHeight="1">
      <c r="A256" s="165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</row>
    <row r="257" spans="1:16" ht="14.25" customHeight="1">
      <c r="A257" s="165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</row>
    <row r="258" spans="1:16" ht="14.25" customHeight="1">
      <c r="A258" s="165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</row>
    <row r="259" spans="1:16" ht="14.25" customHeight="1">
      <c r="A259" s="165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</row>
    <row r="260" spans="1:16" ht="14.25" customHeight="1">
      <c r="A260" s="165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</row>
    <row r="261" spans="1:16" ht="14.25" customHeight="1">
      <c r="A261" s="165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</row>
    <row r="262" spans="1:16" ht="14.25" customHeight="1">
      <c r="A262" s="165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</row>
    <row r="263" spans="1:16" ht="14.25" customHeight="1">
      <c r="A263" s="165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</row>
    <row r="264" spans="1:16" ht="14.25" customHeight="1">
      <c r="A264" s="165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</row>
    <row r="265" spans="1:16" ht="14.25" customHeight="1">
      <c r="A265" s="165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</row>
    <row r="266" spans="1:16" ht="14.25" customHeight="1">
      <c r="A266" s="165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</row>
    <row r="267" spans="1:16" ht="14.25" customHeight="1">
      <c r="A267" s="165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</row>
    <row r="268" spans="1:16" ht="14.25" customHeight="1">
      <c r="A268" s="165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</row>
    <row r="269" spans="1:16" ht="14.25" customHeight="1">
      <c r="A269" s="165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</row>
    <row r="270" spans="1:16" ht="14.25" customHeight="1">
      <c r="A270" s="165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</row>
    <row r="271" spans="1:16" ht="14.25" customHeight="1">
      <c r="A271" s="165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</row>
    <row r="272" spans="1:16" ht="14.25" customHeight="1">
      <c r="A272" s="165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</row>
    <row r="273" spans="1:16" ht="14.25" customHeight="1">
      <c r="A273" s="165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</row>
    <row r="274" spans="1:16" ht="14.25" customHeight="1">
      <c r="A274" s="165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</row>
    <row r="275" spans="1:16" ht="14.25" customHeight="1">
      <c r="A275" s="165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</row>
    <row r="276" spans="1:16" ht="14.25" customHeight="1">
      <c r="A276" s="165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</row>
    <row r="277" spans="1:16" ht="14.25" customHeight="1">
      <c r="A277" s="165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</row>
    <row r="278" spans="1:16" ht="14.25" customHeight="1">
      <c r="A278" s="165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</row>
    <row r="279" spans="1:16" ht="14.25" customHeight="1">
      <c r="A279" s="165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</row>
    <row r="280" spans="1:16" ht="14.25" customHeight="1">
      <c r="A280" s="165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</row>
    <row r="281" spans="1:16" ht="14.25" customHeight="1">
      <c r="A281" s="165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</row>
    <row r="282" spans="1:16" ht="14.25" customHeight="1">
      <c r="A282" s="165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</row>
    <row r="283" spans="1:16" ht="14.25" customHeight="1">
      <c r="A283" s="165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</row>
    <row r="284" spans="1:16" ht="14.25" customHeight="1">
      <c r="A284" s="165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</row>
    <row r="285" spans="1:16" ht="14.25" customHeight="1">
      <c r="A285" s="165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</row>
    <row r="286" spans="1:16" ht="14.25" customHeight="1">
      <c r="A286" s="165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</row>
    <row r="287" spans="1:16" ht="14.25" customHeight="1">
      <c r="A287" s="165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</row>
    <row r="288" spans="1:16" ht="14.25" customHeight="1">
      <c r="A288" s="165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</row>
    <row r="289" spans="1:16" ht="14.25" customHeight="1">
      <c r="A289" s="165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</row>
    <row r="290" spans="1:16" ht="14.25" customHeight="1">
      <c r="A290" s="165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</row>
    <row r="291" spans="1:16" ht="14.25" customHeight="1">
      <c r="A291" s="165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</row>
    <row r="292" spans="1:16" ht="14.25" customHeight="1">
      <c r="A292" s="165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</row>
    <row r="293" spans="1:16" ht="14.25" customHeight="1">
      <c r="A293" s="165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</row>
    <row r="294" spans="1:16" ht="14.25" customHeight="1">
      <c r="A294" s="165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</row>
    <row r="295" spans="1:16" ht="14.25" customHeight="1">
      <c r="A295" s="165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</row>
    <row r="296" spans="1:16" ht="14.25" customHeight="1">
      <c r="A296" s="165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</row>
    <row r="297" spans="1:16" ht="14.25" customHeight="1">
      <c r="A297" s="165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</row>
    <row r="298" spans="1:16" ht="14.25" customHeight="1">
      <c r="A298" s="165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</row>
    <row r="299" spans="1:16" ht="14.25" customHeight="1">
      <c r="A299" s="165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</row>
    <row r="300" spans="1:16" ht="14.25" customHeight="1">
      <c r="A300" s="165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</row>
    <row r="301" spans="1:16" ht="14.25" customHeight="1">
      <c r="A301" s="165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</row>
    <row r="302" spans="1:16" ht="14.25" customHeight="1">
      <c r="A302" s="165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</row>
    <row r="303" spans="1:16" ht="14.25" customHeight="1">
      <c r="A303" s="165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</row>
    <row r="304" spans="1:16" ht="14.25" customHeight="1">
      <c r="A304" s="165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</row>
    <row r="305" spans="1:16" ht="14.25" customHeight="1">
      <c r="A305" s="165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</row>
    <row r="306" spans="1:16" ht="14.25" customHeight="1">
      <c r="A306" s="165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</row>
    <row r="307" spans="1:16" ht="14.25" customHeight="1">
      <c r="A307" s="165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</row>
    <row r="308" spans="1:16" ht="14.25" customHeight="1">
      <c r="A308" s="165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</row>
    <row r="309" spans="1:16" ht="14.25" customHeight="1">
      <c r="A309" s="165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</row>
    <row r="310" spans="1:16" ht="14.25" customHeight="1">
      <c r="A310" s="165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</row>
    <row r="311" spans="1:16" ht="14.25" customHeight="1">
      <c r="A311" s="165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</row>
    <row r="312" spans="1:16" ht="14.25" customHeight="1">
      <c r="A312" s="165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</row>
    <row r="313" spans="1:16" ht="14.25" customHeight="1">
      <c r="A313" s="165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</row>
    <row r="314" spans="1:16" ht="14.25" customHeight="1">
      <c r="A314" s="165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</row>
    <row r="315" spans="1:16" ht="14.25" customHeight="1">
      <c r="A315" s="165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</row>
    <row r="316" spans="1:16" ht="14.25" customHeight="1">
      <c r="A316" s="165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</row>
    <row r="317" spans="1:16" ht="14.25" customHeight="1">
      <c r="A317" s="165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</row>
    <row r="318" spans="1:16" ht="14.25" customHeight="1">
      <c r="A318" s="165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</row>
    <row r="319" spans="1:16" ht="14.25" customHeight="1">
      <c r="A319" s="165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</row>
    <row r="320" spans="1:16" ht="14.25" customHeight="1">
      <c r="A320" s="165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</row>
    <row r="321" spans="1:16" ht="14.25" customHeight="1">
      <c r="A321" s="165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</row>
    <row r="322" spans="1:16" ht="14.25" customHeight="1">
      <c r="A322" s="165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</row>
    <row r="323" spans="1:16" ht="14.25" customHeight="1">
      <c r="A323" s="165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</row>
    <row r="324" spans="1:16" ht="14.25" customHeight="1">
      <c r="A324" s="165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</row>
    <row r="325" spans="1:16" ht="14.25" customHeight="1">
      <c r="A325" s="165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</row>
    <row r="326" spans="1:16" ht="14.25" customHeight="1">
      <c r="A326" s="165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</row>
    <row r="327" spans="1:16" ht="14.25" customHeight="1">
      <c r="A327" s="165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</row>
    <row r="328" spans="1:16" ht="14.25" customHeight="1">
      <c r="A328" s="165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</row>
    <row r="329" spans="1:16" ht="14.25" customHeight="1">
      <c r="A329" s="165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</row>
    <row r="330" spans="1:16" ht="14.25" customHeight="1">
      <c r="A330" s="165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</row>
    <row r="331" spans="1:16" ht="14.25" customHeight="1">
      <c r="A331" s="165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</row>
    <row r="332" spans="1:16" ht="14.25" customHeight="1">
      <c r="A332" s="165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</row>
    <row r="333" spans="1:16" ht="14.25" customHeight="1">
      <c r="A333" s="165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</row>
    <row r="334" spans="1:16" ht="14.25" customHeight="1">
      <c r="A334" s="165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</row>
    <row r="335" spans="1:16" ht="14.25" customHeight="1">
      <c r="A335" s="165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</row>
    <row r="336" spans="1:16" ht="14.25" customHeight="1">
      <c r="A336" s="165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</row>
    <row r="337" spans="1:16" ht="14.25" customHeight="1">
      <c r="A337" s="165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</row>
    <row r="338" spans="1:16" ht="14.25" customHeight="1">
      <c r="A338" s="165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</row>
    <row r="339" spans="1:16" ht="14.25" customHeight="1">
      <c r="A339" s="165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</row>
    <row r="340" spans="1:16" ht="14.25" customHeight="1">
      <c r="A340" s="165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</row>
    <row r="341" spans="1:16" ht="14.25" customHeight="1">
      <c r="A341" s="165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</row>
    <row r="342" spans="1:16" ht="14.25" customHeight="1">
      <c r="A342" s="165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</row>
    <row r="343" spans="1:16" ht="14.25" customHeight="1">
      <c r="A343" s="165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</row>
    <row r="344" spans="1:16" ht="14.25" customHeight="1">
      <c r="A344" s="165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</row>
    <row r="345" spans="1:16" ht="14.25" customHeight="1">
      <c r="A345" s="165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</row>
    <row r="346" spans="1:16" ht="14.25" customHeight="1">
      <c r="A346" s="165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</row>
    <row r="347" spans="1:16" ht="14.25" customHeight="1">
      <c r="A347" s="165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</row>
    <row r="348" spans="1:16" ht="14.25" customHeight="1">
      <c r="A348" s="165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</row>
    <row r="349" spans="1:16" ht="14.25" customHeight="1">
      <c r="A349" s="165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</row>
    <row r="350" spans="1:16" ht="14.25" customHeight="1">
      <c r="A350" s="165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</row>
    <row r="351" spans="1:16" ht="14.25" customHeight="1">
      <c r="A351" s="165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</row>
    <row r="352" spans="1:16" ht="14.25" customHeight="1">
      <c r="A352" s="165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</row>
    <row r="353" spans="1:16" ht="14.25" customHeight="1">
      <c r="A353" s="165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</row>
    <row r="354" spans="1:16" ht="14.25" customHeight="1">
      <c r="A354" s="165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</row>
    <row r="355" spans="1:16" ht="14.25" customHeight="1">
      <c r="A355" s="165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</row>
    <row r="356" spans="1:16" ht="14.25" customHeight="1">
      <c r="A356" s="165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</row>
    <row r="357" spans="1:16" ht="14.25" customHeight="1">
      <c r="A357" s="165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</row>
    <row r="358" spans="1:16" ht="14.25" customHeight="1">
      <c r="A358" s="165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</row>
    <row r="359" spans="1:16" ht="14.25" customHeight="1">
      <c r="A359" s="165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</row>
    <row r="360" spans="1:16" ht="14.25" customHeight="1">
      <c r="A360" s="165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</row>
    <row r="361" spans="1:16" ht="14.25" customHeight="1">
      <c r="A361" s="165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</row>
    <row r="362" spans="1:16" ht="14.25" customHeight="1">
      <c r="A362" s="165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</row>
    <row r="363" spans="1:16" ht="14.25" customHeight="1">
      <c r="A363" s="165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</row>
    <row r="364" spans="1:16" ht="14.25" customHeight="1">
      <c r="A364" s="165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</row>
    <row r="365" spans="1:16" ht="14.25" customHeight="1">
      <c r="A365" s="165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</row>
    <row r="366" spans="1:16" ht="14.25" customHeight="1">
      <c r="A366" s="165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</row>
    <row r="367" spans="1:16" ht="14.25" customHeight="1">
      <c r="A367" s="165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</row>
    <row r="368" spans="1:16" ht="14.25" customHeight="1">
      <c r="A368" s="165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</row>
    <row r="369" spans="1:16" ht="14.25" customHeight="1">
      <c r="A369" s="165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</row>
    <row r="370" spans="1:16" ht="14.25" customHeight="1">
      <c r="A370" s="165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</row>
    <row r="371" spans="1:16" ht="14.25" customHeight="1">
      <c r="A371" s="165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</row>
    <row r="372" spans="1:16" ht="14.25" customHeight="1">
      <c r="A372" s="165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</row>
    <row r="373" spans="1:16" ht="14.25" customHeight="1">
      <c r="A373" s="165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</row>
    <row r="374" spans="1:16" ht="14.25" customHeight="1">
      <c r="A374" s="165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</row>
    <row r="375" spans="1:16" ht="14.25" customHeight="1">
      <c r="A375" s="165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</row>
    <row r="376" spans="1:16" ht="14.25" customHeight="1">
      <c r="A376" s="165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</row>
    <row r="377" spans="1:16" ht="14.25" customHeight="1">
      <c r="A377" s="165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</row>
    <row r="378" spans="1:16" ht="14.25" customHeight="1">
      <c r="A378" s="165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</row>
    <row r="379" spans="1:16" ht="14.25" customHeight="1">
      <c r="A379" s="165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</row>
    <row r="380" spans="1:16" ht="14.25" customHeight="1">
      <c r="A380" s="165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</row>
    <row r="381" spans="1:16" ht="14.25" customHeight="1">
      <c r="A381" s="165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</row>
    <row r="382" spans="1:16" ht="14.25" customHeight="1">
      <c r="A382" s="165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</row>
    <row r="383" spans="1:16" ht="14.25" customHeight="1">
      <c r="A383" s="16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</row>
    <row r="384" spans="1:16" ht="14.25" customHeight="1">
      <c r="A384" s="165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</row>
    <row r="385" spans="1:16" ht="14.25" customHeight="1">
      <c r="A385" s="165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</row>
    <row r="386" spans="1:16" ht="14.25" customHeight="1">
      <c r="A386" s="165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</row>
    <row r="387" spans="1:16" ht="14.25" customHeight="1">
      <c r="A387" s="165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</row>
    <row r="388" spans="1:16" ht="14.25" customHeight="1">
      <c r="A388" s="165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</row>
    <row r="389" spans="1:16" ht="14.25" customHeight="1">
      <c r="A389" s="165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</row>
    <row r="390" spans="1:16" ht="14.25" customHeight="1">
      <c r="A390" s="165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</row>
    <row r="391" spans="1:16" ht="14.25" customHeight="1">
      <c r="A391" s="165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</row>
    <row r="392" spans="1:16" ht="14.25" customHeight="1">
      <c r="A392" s="165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</row>
    <row r="393" spans="1:16" ht="14.25" customHeight="1">
      <c r="A393" s="165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</row>
    <row r="394" spans="1:16" ht="14.25" customHeight="1">
      <c r="A394" s="165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</row>
    <row r="395" spans="1:16" ht="14.25" customHeight="1">
      <c r="A395" s="165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</row>
    <row r="396" spans="1:16" ht="14.25" customHeight="1">
      <c r="A396" s="165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</row>
    <row r="397" spans="1:16" ht="14.25" customHeight="1">
      <c r="A397" s="165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</row>
    <row r="398" spans="1:16" ht="14.25" customHeight="1">
      <c r="A398" s="165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</row>
    <row r="399" spans="1:16" ht="14.25" customHeight="1">
      <c r="A399" s="165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</row>
    <row r="400" spans="1:16" ht="14.25" customHeight="1">
      <c r="A400" s="165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</row>
    <row r="401" spans="1:16" ht="14.25" customHeight="1">
      <c r="A401" s="165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</row>
    <row r="402" spans="1:16" ht="14.25" customHeight="1">
      <c r="A402" s="165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</row>
    <row r="403" spans="1:16" ht="14.25" customHeight="1">
      <c r="A403" s="165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</row>
    <row r="404" spans="1:16" ht="14.25" customHeight="1">
      <c r="A404" s="165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</row>
    <row r="405" spans="1:16" ht="14.25" customHeight="1">
      <c r="A405" s="165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</row>
    <row r="406" spans="1:16" ht="14.25" customHeight="1">
      <c r="A406" s="165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</row>
    <row r="407" spans="1:16" ht="14.25" customHeight="1">
      <c r="A407" s="165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</row>
    <row r="408" spans="1:16" ht="14.25" customHeight="1">
      <c r="A408" s="165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</row>
    <row r="409" spans="1:16" ht="14.25" customHeight="1">
      <c r="A409" s="165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</row>
    <row r="410" spans="1:16" ht="14.25" customHeight="1">
      <c r="A410" s="165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</row>
    <row r="411" spans="1:16" ht="14.25" customHeight="1">
      <c r="A411" s="165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</row>
    <row r="412" spans="1:16" ht="14.25" customHeight="1">
      <c r="A412" s="165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</row>
    <row r="413" spans="1:16" ht="14.25" customHeight="1">
      <c r="A413" s="165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</row>
    <row r="414" spans="1:16" ht="14.25" customHeight="1">
      <c r="A414" s="165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</row>
    <row r="415" spans="1:16" ht="14.25" customHeight="1">
      <c r="A415" s="165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</row>
    <row r="416" spans="1:16" ht="14.25" customHeight="1">
      <c r="A416" s="165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</row>
    <row r="417" spans="1:16" ht="14.25" customHeight="1">
      <c r="A417" s="165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</row>
    <row r="418" spans="1:16" ht="14.25" customHeight="1">
      <c r="A418" s="165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</row>
    <row r="419" spans="1:16" ht="14.25" customHeight="1">
      <c r="A419" s="165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</row>
    <row r="420" spans="1:16" ht="14.25" customHeight="1">
      <c r="A420" s="165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</row>
    <row r="421" spans="1:16" ht="14.25" customHeight="1">
      <c r="A421" s="165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</row>
    <row r="422" spans="1:16" ht="14.25" customHeight="1">
      <c r="A422" s="165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</row>
    <row r="423" spans="1:16" ht="14.25" customHeight="1">
      <c r="A423" s="165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</row>
    <row r="424" spans="1:16" ht="14.25" customHeight="1">
      <c r="A424" s="165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</row>
    <row r="425" spans="1:16" ht="14.25" customHeight="1">
      <c r="A425" s="165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</row>
    <row r="426" spans="1:16" ht="14.25" customHeight="1">
      <c r="A426" s="165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</row>
    <row r="427" spans="1:16" ht="14.25" customHeight="1">
      <c r="A427" s="165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</row>
    <row r="428" spans="1:16" ht="14.25" customHeight="1">
      <c r="A428" s="165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</row>
    <row r="429" spans="1:16" ht="14.25" customHeight="1">
      <c r="A429" s="165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</row>
    <row r="430" spans="1:16" ht="14.25" customHeight="1">
      <c r="A430" s="165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</row>
    <row r="431" spans="1:16" ht="14.25" customHeight="1">
      <c r="A431" s="165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</row>
    <row r="432" spans="1:16" ht="14.25" customHeight="1">
      <c r="A432" s="165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</row>
    <row r="433" spans="1:16" ht="14.25" customHeight="1">
      <c r="A433" s="165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</row>
    <row r="434" spans="1:16" ht="14.25" customHeight="1">
      <c r="A434" s="165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</row>
    <row r="435" spans="1:16" ht="14.25" customHeight="1">
      <c r="A435" s="165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</row>
    <row r="436" spans="1:16" ht="14.25" customHeight="1">
      <c r="A436" s="165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</row>
    <row r="437" spans="1:16" ht="14.25" customHeight="1">
      <c r="A437" s="165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</row>
    <row r="438" spans="1:16" ht="14.25" customHeight="1">
      <c r="A438" s="165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</row>
    <row r="439" spans="1:16" ht="14.25" customHeight="1">
      <c r="A439" s="165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</row>
    <row r="440" spans="1:16" ht="14.25" customHeight="1">
      <c r="A440" s="165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</row>
    <row r="441" spans="1:16" ht="14.25" customHeight="1">
      <c r="A441" s="165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</row>
    <row r="442" spans="1:16" ht="14.25" customHeight="1">
      <c r="A442" s="165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</row>
    <row r="443" spans="1:16" ht="14.25" customHeight="1">
      <c r="A443" s="165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</row>
    <row r="444" spans="1:16" ht="14.25" customHeight="1">
      <c r="A444" s="165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</row>
    <row r="445" spans="1:16" ht="14.25" customHeight="1">
      <c r="A445" s="165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</row>
    <row r="446" spans="1:16" ht="14.25" customHeight="1">
      <c r="A446" s="165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</row>
    <row r="447" spans="1:16" ht="14.25" customHeight="1">
      <c r="A447" s="165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</row>
    <row r="448" spans="1:16" ht="14.25" customHeight="1">
      <c r="A448" s="165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</row>
    <row r="449" spans="1:16" ht="14.25" customHeight="1">
      <c r="A449" s="165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</row>
    <row r="450" spans="1:16" ht="14.25" customHeight="1">
      <c r="A450" s="165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</row>
    <row r="451" spans="1:16" ht="14.25" customHeight="1">
      <c r="A451" s="165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</row>
    <row r="452" spans="1:16" ht="14.25" customHeight="1">
      <c r="A452" s="165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</row>
    <row r="453" spans="1:16" ht="14.25" customHeight="1">
      <c r="A453" s="165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</row>
    <row r="454" spans="1:16" ht="14.25" customHeight="1">
      <c r="A454" s="165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</row>
    <row r="455" spans="1:16" ht="14.25" customHeight="1">
      <c r="A455" s="165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</row>
    <row r="456" spans="1:16" ht="14.25" customHeight="1">
      <c r="A456" s="165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</row>
    <row r="457" spans="1:16" ht="14.25" customHeight="1">
      <c r="A457" s="165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</row>
    <row r="458" spans="1:16" ht="14.25" customHeight="1">
      <c r="A458" s="165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</row>
    <row r="459" spans="1:16" ht="14.25" customHeight="1">
      <c r="A459" s="165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</row>
    <row r="460" spans="1:16" ht="14.25" customHeight="1">
      <c r="A460" s="165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</row>
    <row r="461" spans="1:16" ht="14.25" customHeight="1">
      <c r="A461" s="165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</row>
    <row r="462" spans="1:16" ht="14.25" customHeight="1">
      <c r="A462" s="165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</row>
    <row r="463" spans="1:16" ht="14.25" customHeight="1">
      <c r="A463" s="165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</row>
    <row r="464" spans="1:16" ht="14.25" customHeight="1">
      <c r="A464" s="165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</row>
    <row r="465" spans="1:16" ht="14.25" customHeight="1">
      <c r="A465" s="165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</row>
    <row r="466" spans="1:16" ht="14.25" customHeight="1">
      <c r="A466" s="165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</row>
    <row r="467" spans="1:16" ht="14.25" customHeight="1">
      <c r="A467" s="165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</row>
    <row r="468" spans="1:16" ht="14.25" customHeight="1">
      <c r="A468" s="165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</row>
    <row r="469" spans="1:16" ht="14.25" customHeight="1">
      <c r="A469" s="165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</row>
    <row r="470" spans="1:16" ht="14.25" customHeight="1">
      <c r="A470" s="165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</row>
    <row r="471" spans="1:16" ht="14.25" customHeight="1">
      <c r="A471" s="165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</row>
    <row r="472" spans="1:16" ht="14.25" customHeight="1">
      <c r="A472" s="165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</row>
    <row r="473" spans="1:16" ht="14.25" customHeight="1">
      <c r="A473" s="165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</row>
    <row r="474" spans="1:16" ht="14.25" customHeight="1">
      <c r="A474" s="165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</row>
    <row r="475" spans="1:16" ht="14.25" customHeight="1">
      <c r="A475" s="165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</row>
    <row r="476" spans="1:16" ht="14.25" customHeight="1">
      <c r="A476" s="165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</row>
    <row r="477" spans="1:16" ht="14.25" customHeight="1">
      <c r="A477" s="165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</row>
    <row r="478" spans="1:16" ht="14.25" customHeight="1">
      <c r="A478" s="165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</row>
    <row r="479" spans="1:16" ht="14.25" customHeight="1">
      <c r="A479" s="165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</row>
    <row r="480" spans="1:16" ht="14.25" customHeight="1">
      <c r="A480" s="165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</row>
    <row r="481" spans="1:16" ht="14.25" customHeight="1">
      <c r="A481" s="165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</row>
    <row r="482" spans="1:16" ht="14.25" customHeight="1">
      <c r="A482" s="165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</row>
    <row r="483" spans="1:16" ht="14.25" customHeight="1">
      <c r="A483" s="165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</row>
    <row r="484" spans="1:16" ht="14.25" customHeight="1">
      <c r="A484" s="165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</row>
    <row r="485" spans="1:16" ht="14.25" customHeight="1">
      <c r="A485" s="165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</row>
    <row r="486" spans="1:16" ht="14.25" customHeight="1">
      <c r="A486" s="165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</row>
    <row r="487" spans="1:16" ht="14.25" customHeight="1">
      <c r="A487" s="165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</row>
    <row r="488" spans="1:16" ht="14.25" customHeight="1">
      <c r="A488" s="165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</row>
    <row r="489" spans="1:16" ht="14.25" customHeight="1">
      <c r="A489" s="165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</row>
    <row r="490" spans="1:16" ht="14.25" customHeight="1">
      <c r="A490" s="165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</row>
    <row r="491" spans="1:16" ht="14.25" customHeight="1">
      <c r="A491" s="165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</row>
    <row r="492" spans="1:16" ht="14.25" customHeight="1">
      <c r="A492" s="165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</row>
    <row r="493" spans="1:16" ht="14.25" customHeight="1">
      <c r="A493" s="165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</row>
    <row r="494" spans="1:16" ht="14.25" customHeight="1">
      <c r="A494" s="165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</row>
    <row r="495" spans="1:16" ht="14.25" customHeight="1">
      <c r="A495" s="165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</row>
    <row r="496" spans="1:16" ht="14.25" customHeight="1">
      <c r="A496" s="165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</row>
    <row r="497" spans="1:16" ht="14.25" customHeight="1">
      <c r="A497" s="165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</row>
    <row r="498" spans="1:16" ht="14.25" customHeight="1">
      <c r="A498" s="165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</row>
    <row r="499" spans="1:16" ht="14.25" customHeight="1">
      <c r="A499" s="165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</row>
    <row r="500" spans="1:16" ht="14.25" customHeight="1">
      <c r="A500" s="165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</row>
    <row r="501" spans="1:16" ht="14.25" customHeight="1">
      <c r="A501" s="165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</row>
    <row r="502" spans="1:16" ht="14.25" customHeight="1">
      <c r="A502" s="165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</row>
    <row r="503" spans="1:16" ht="14.25" customHeight="1">
      <c r="A503" s="165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</row>
    <row r="504" spans="1:16" ht="14.25" customHeight="1">
      <c r="A504" s="165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</row>
    <row r="505" spans="1:16" ht="14.25" customHeight="1">
      <c r="A505" s="165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</row>
    <row r="506" spans="1:16" ht="14.25" customHeight="1">
      <c r="A506" s="165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</row>
    <row r="507" spans="1:16" ht="14.25" customHeight="1">
      <c r="A507" s="165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</row>
    <row r="508" spans="1:16" ht="14.25" customHeight="1">
      <c r="A508" s="165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</row>
    <row r="509" spans="1:16" ht="14.25" customHeight="1">
      <c r="A509" s="165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</row>
    <row r="510" spans="1:16" ht="14.25" customHeight="1">
      <c r="A510" s="165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</row>
    <row r="511" spans="1:16" ht="14.25" customHeight="1">
      <c r="A511" s="165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</row>
    <row r="512" spans="1:16" ht="14.25" customHeight="1">
      <c r="A512" s="165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</row>
    <row r="513" spans="1:16" ht="14.25" customHeight="1">
      <c r="A513" s="165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</row>
    <row r="514" spans="1:16" ht="14.25" customHeight="1">
      <c r="A514" s="165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</row>
    <row r="515" spans="1:16" ht="14.25" customHeight="1">
      <c r="A515" s="165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</row>
    <row r="516" spans="1:16" ht="14.25" customHeight="1">
      <c r="A516" s="165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</row>
    <row r="517" spans="1:16" ht="14.25" customHeight="1">
      <c r="A517" s="165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</row>
    <row r="518" spans="1:16" ht="14.25" customHeight="1">
      <c r="A518" s="165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</row>
    <row r="519" spans="1:16" ht="14.25" customHeight="1">
      <c r="A519" s="165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</row>
    <row r="520" spans="1:16" ht="14.25" customHeight="1">
      <c r="A520" s="165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</row>
    <row r="521" spans="1:16" ht="14.25" customHeight="1">
      <c r="A521" s="165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</row>
    <row r="522" spans="1:16" ht="14.25" customHeight="1">
      <c r="A522" s="165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</row>
    <row r="523" spans="1:16" ht="14.25" customHeight="1">
      <c r="A523" s="165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</row>
    <row r="524" spans="1:16" ht="14.25" customHeight="1">
      <c r="A524" s="165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</row>
    <row r="525" spans="1:16" ht="14.25" customHeight="1">
      <c r="A525" s="165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</row>
    <row r="526" spans="1:16" ht="14.25" customHeight="1">
      <c r="A526" s="165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</row>
    <row r="527" spans="1:16" ht="14.25" customHeight="1">
      <c r="A527" s="165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</row>
    <row r="528" spans="1:16" ht="14.25" customHeight="1">
      <c r="A528" s="165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</row>
    <row r="529" spans="1:16" ht="14.25" customHeight="1">
      <c r="A529" s="165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</row>
    <row r="530" spans="1:16" ht="14.25" customHeight="1">
      <c r="A530" s="165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</row>
    <row r="531" spans="1:16" ht="14.25" customHeight="1">
      <c r="A531" s="165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</row>
    <row r="532" spans="1:16" ht="14.25" customHeight="1">
      <c r="A532" s="165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</row>
    <row r="533" spans="1:16" ht="14.25" customHeight="1">
      <c r="A533" s="165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</row>
    <row r="534" spans="1:16" ht="14.25" customHeight="1">
      <c r="A534" s="165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</row>
    <row r="535" spans="1:16" ht="14.25" customHeight="1">
      <c r="A535" s="165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</row>
    <row r="536" spans="1:16" ht="14.25" customHeight="1">
      <c r="A536" s="165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</row>
    <row r="537" spans="1:16" ht="14.25" customHeight="1">
      <c r="A537" s="165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</row>
    <row r="538" spans="1:16" ht="14.25" customHeight="1">
      <c r="A538" s="165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</row>
    <row r="539" spans="1:16" ht="14.25" customHeight="1">
      <c r="A539" s="165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</row>
    <row r="540" spans="1:16" ht="14.25" customHeight="1">
      <c r="A540" s="165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</row>
    <row r="541" spans="1:16" ht="14.25" customHeight="1">
      <c r="A541" s="165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</row>
    <row r="542" spans="1:16" ht="14.25" customHeight="1">
      <c r="A542" s="165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</row>
    <row r="543" spans="1:16" ht="14.25" customHeight="1">
      <c r="A543" s="165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</row>
    <row r="544" spans="1:16" ht="14.25" customHeight="1">
      <c r="A544" s="165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</row>
    <row r="545" spans="1:16" ht="14.25" customHeight="1">
      <c r="A545" s="165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</row>
    <row r="546" spans="1:16" ht="14.25" customHeight="1">
      <c r="A546" s="165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</row>
    <row r="547" spans="1:16" ht="14.25" customHeight="1">
      <c r="A547" s="165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</row>
    <row r="548" spans="1:16" ht="14.25" customHeight="1">
      <c r="A548" s="165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</row>
    <row r="549" spans="1:16" ht="14.25" customHeight="1">
      <c r="A549" s="165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</row>
    <row r="550" spans="1:16" ht="14.25" customHeight="1">
      <c r="A550" s="165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</row>
    <row r="551" spans="1:16" ht="14.25" customHeight="1">
      <c r="A551" s="165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</row>
    <row r="552" spans="1:16" ht="14.25" customHeight="1">
      <c r="A552" s="165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</row>
    <row r="553" spans="1:16" ht="14.25" customHeight="1">
      <c r="A553" s="165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</row>
    <row r="554" spans="1:16" ht="14.25" customHeight="1">
      <c r="A554" s="165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</row>
    <row r="555" spans="1:16" ht="14.25" customHeight="1">
      <c r="A555" s="165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</row>
    <row r="556" spans="1:16" ht="14.25" customHeight="1">
      <c r="A556" s="165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</row>
    <row r="557" spans="1:16" ht="14.25" customHeight="1">
      <c r="A557" s="165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</row>
    <row r="558" spans="1:16" ht="14.25" customHeight="1">
      <c r="A558" s="165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</row>
    <row r="559" spans="1:16" ht="14.25" customHeight="1">
      <c r="A559" s="165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</row>
    <row r="560" spans="1:16" ht="14.25" customHeight="1">
      <c r="A560" s="165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</row>
    <row r="561" spans="1:16" ht="14.25" customHeight="1">
      <c r="A561" s="165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</row>
    <row r="562" spans="1:16" ht="14.25" customHeight="1">
      <c r="A562" s="165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</row>
    <row r="563" spans="1:16" ht="14.25" customHeight="1">
      <c r="A563" s="165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</row>
    <row r="564" spans="1:16" ht="14.25" customHeight="1">
      <c r="A564" s="165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</row>
    <row r="565" spans="1:16" ht="14.25" customHeight="1">
      <c r="A565" s="165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</row>
    <row r="566" spans="1:16" ht="14.25" customHeight="1">
      <c r="A566" s="165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</row>
    <row r="567" spans="1:16" ht="14.25" customHeight="1">
      <c r="A567" s="165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</row>
    <row r="568" spans="1:16" ht="14.25" customHeight="1">
      <c r="A568" s="165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</row>
    <row r="569" spans="1:16" ht="14.25" customHeight="1">
      <c r="A569" s="165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</row>
    <row r="570" spans="1:16" ht="14.25" customHeight="1">
      <c r="A570" s="165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</row>
    <row r="571" spans="1:16" ht="14.25" customHeight="1">
      <c r="A571" s="165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</row>
    <row r="572" spans="1:16" ht="14.25" customHeight="1">
      <c r="A572" s="165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</row>
    <row r="573" spans="1:16" ht="14.25" customHeight="1">
      <c r="A573" s="165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</row>
    <row r="574" spans="1:16" ht="14.25" customHeight="1">
      <c r="A574" s="165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</row>
    <row r="575" spans="1:16" ht="14.25" customHeight="1">
      <c r="A575" s="165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</row>
    <row r="576" spans="1:16" ht="14.25" customHeight="1">
      <c r="A576" s="165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</row>
    <row r="577" spans="1:16" ht="14.25" customHeight="1">
      <c r="A577" s="165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</row>
    <row r="578" spans="1:16" ht="14.25" customHeight="1">
      <c r="A578" s="165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</row>
    <row r="579" spans="1:16" ht="14.25" customHeight="1">
      <c r="A579" s="165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</row>
    <row r="580" spans="1:16" ht="14.25" customHeight="1">
      <c r="A580" s="165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</row>
    <row r="581" spans="1:16" ht="14.25" customHeight="1">
      <c r="A581" s="165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</row>
    <row r="582" spans="1:16" ht="14.25" customHeight="1">
      <c r="A582" s="165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</row>
    <row r="583" spans="1:16" ht="14.25" customHeight="1">
      <c r="A583" s="165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</row>
    <row r="584" spans="1:16" ht="14.25" customHeight="1">
      <c r="A584" s="165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</row>
    <row r="585" spans="1:16" ht="14.25" customHeight="1">
      <c r="A585" s="165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</row>
    <row r="586" spans="1:16" ht="14.25" customHeight="1">
      <c r="A586" s="165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</row>
    <row r="587" spans="1:16" ht="14.25" customHeight="1">
      <c r="A587" s="165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</row>
    <row r="588" spans="1:16" ht="14.25" customHeight="1">
      <c r="A588" s="165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</row>
    <row r="589" spans="1:16" ht="14.25" customHeight="1">
      <c r="A589" s="165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</row>
    <row r="590" spans="1:16" ht="14.25" customHeight="1">
      <c r="A590" s="165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</row>
    <row r="591" spans="1:16" ht="14.25" customHeight="1">
      <c r="A591" s="165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</row>
    <row r="592" spans="1:16" ht="14.25" customHeight="1">
      <c r="A592" s="165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</row>
    <row r="593" spans="1:16" ht="14.25" customHeight="1">
      <c r="A593" s="165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</row>
    <row r="594" spans="1:16" ht="14.25" customHeight="1">
      <c r="A594" s="165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</row>
    <row r="595" spans="1:16" ht="14.25" customHeight="1">
      <c r="A595" s="165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</row>
    <row r="596" spans="1:16" ht="14.25" customHeight="1">
      <c r="A596" s="165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</row>
    <row r="597" spans="1:16" ht="14.25" customHeight="1">
      <c r="A597" s="165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</row>
    <row r="598" spans="1:16" ht="14.25" customHeight="1">
      <c r="A598" s="165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</row>
    <row r="599" spans="1:16" ht="14.25" customHeight="1">
      <c r="A599" s="165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</row>
    <row r="600" spans="1:16" ht="14.25" customHeight="1">
      <c r="A600" s="165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</row>
    <row r="601" spans="1:16" ht="14.25" customHeight="1">
      <c r="A601" s="165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</row>
    <row r="602" spans="1:16" ht="14.25" customHeight="1">
      <c r="A602" s="165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</row>
    <row r="603" spans="1:16" ht="14.25" customHeight="1">
      <c r="A603" s="165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</row>
    <row r="604" spans="1:16" ht="14.25" customHeight="1">
      <c r="A604" s="165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</row>
    <row r="605" spans="1:16" ht="14.25" customHeight="1">
      <c r="A605" s="165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</row>
    <row r="606" spans="1:16" ht="14.25" customHeight="1">
      <c r="A606" s="165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</row>
    <row r="607" spans="1:16" ht="14.25" customHeight="1">
      <c r="A607" s="165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</row>
    <row r="608" spans="1:16" ht="14.25" customHeight="1">
      <c r="A608" s="165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</row>
    <row r="609" spans="1:16" ht="14.25" customHeight="1">
      <c r="A609" s="165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</row>
    <row r="610" spans="1:16" ht="14.25" customHeight="1">
      <c r="A610" s="165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</row>
    <row r="611" spans="1:16" ht="14.25" customHeight="1">
      <c r="A611" s="165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</row>
    <row r="612" spans="1:16" ht="14.25" customHeight="1">
      <c r="A612" s="165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</row>
    <row r="613" spans="1:16" ht="14.25" customHeight="1">
      <c r="A613" s="165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</row>
    <row r="614" spans="1:16" ht="14.25" customHeight="1">
      <c r="A614" s="165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</row>
    <row r="615" spans="1:16" ht="14.25" customHeight="1">
      <c r="A615" s="165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</row>
    <row r="616" spans="1:16" ht="14.25" customHeight="1">
      <c r="A616" s="165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</row>
    <row r="617" spans="1:16" ht="14.25" customHeight="1">
      <c r="A617" s="165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</row>
    <row r="618" spans="1:16" ht="14.25" customHeight="1">
      <c r="A618" s="165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</row>
    <row r="619" spans="1:16" ht="14.25" customHeight="1">
      <c r="A619" s="165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</row>
    <row r="620" spans="1:16" ht="14.25" customHeight="1">
      <c r="A620" s="165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</row>
    <row r="621" spans="1:16" ht="14.25" customHeight="1">
      <c r="A621" s="165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</row>
    <row r="622" spans="1:16" ht="14.25" customHeight="1">
      <c r="A622" s="165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</row>
    <row r="623" spans="1:16" ht="14.25" customHeight="1">
      <c r="A623" s="165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</row>
    <row r="624" spans="1:16" ht="14.25" customHeight="1">
      <c r="A624" s="165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</row>
    <row r="625" spans="1:16" ht="14.25" customHeight="1">
      <c r="A625" s="165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</row>
    <row r="626" spans="1:16" ht="14.25" customHeight="1">
      <c r="A626" s="165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</row>
    <row r="627" spans="1:16" ht="14.25" customHeight="1">
      <c r="A627" s="165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</row>
    <row r="628" spans="1:16" ht="14.25" customHeight="1">
      <c r="A628" s="165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</row>
    <row r="629" spans="1:16" ht="14.25" customHeight="1">
      <c r="A629" s="165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</row>
    <row r="630" spans="1:16" ht="14.25" customHeight="1">
      <c r="A630" s="165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</row>
    <row r="631" spans="1:16" ht="14.25" customHeight="1">
      <c r="A631" s="165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</row>
    <row r="632" spans="1:16" ht="14.25" customHeight="1">
      <c r="A632" s="165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</row>
    <row r="633" spans="1:16" ht="14.25" customHeight="1">
      <c r="A633" s="165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</row>
    <row r="634" spans="1:16" ht="14.25" customHeight="1">
      <c r="A634" s="165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</row>
    <row r="635" spans="1:16" ht="14.25" customHeight="1">
      <c r="A635" s="165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</row>
    <row r="636" spans="1:16" ht="14.25" customHeight="1">
      <c r="A636" s="165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</row>
    <row r="637" spans="1:16" ht="14.25" customHeight="1">
      <c r="A637" s="165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</row>
    <row r="638" spans="1:16" ht="14.25" customHeight="1">
      <c r="A638" s="165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</row>
    <row r="639" spans="1:16" ht="14.25" customHeight="1">
      <c r="A639" s="165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</row>
    <row r="640" spans="1:16" ht="14.25" customHeight="1">
      <c r="A640" s="165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</row>
    <row r="641" spans="1:16" ht="14.25" customHeight="1">
      <c r="A641" s="165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</row>
    <row r="642" spans="1:16" ht="14.25" customHeight="1">
      <c r="A642" s="165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</row>
    <row r="643" spans="1:16" ht="14.25" customHeight="1">
      <c r="A643" s="165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</row>
    <row r="644" spans="1:16" ht="14.25" customHeight="1">
      <c r="A644" s="165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</row>
    <row r="645" spans="1:16" ht="14.25" customHeight="1">
      <c r="A645" s="165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</row>
    <row r="646" spans="1:16" ht="14.25" customHeight="1">
      <c r="A646" s="165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</row>
    <row r="647" spans="1:16" ht="14.25" customHeight="1">
      <c r="A647" s="165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</row>
    <row r="648" spans="1:16" ht="14.25" customHeight="1">
      <c r="A648" s="165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</row>
    <row r="649" spans="1:16" ht="14.25" customHeight="1">
      <c r="A649" s="165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</row>
    <row r="650" spans="1:16" ht="14.25" customHeight="1">
      <c r="A650" s="165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</row>
    <row r="651" spans="1:16" ht="14.25" customHeight="1">
      <c r="A651" s="165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</row>
    <row r="652" spans="1:16" ht="14.25" customHeight="1">
      <c r="A652" s="165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</row>
    <row r="653" spans="1:16" ht="14.25" customHeight="1">
      <c r="A653" s="165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</row>
    <row r="654" spans="1:16" ht="14.25" customHeight="1">
      <c r="A654" s="165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</row>
    <row r="655" spans="1:16" ht="14.25" customHeight="1">
      <c r="A655" s="165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</row>
    <row r="656" spans="1:16" ht="14.25" customHeight="1">
      <c r="A656" s="165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</row>
    <row r="657" spans="1:16" ht="14.25" customHeight="1">
      <c r="A657" s="165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</row>
    <row r="658" spans="1:16" ht="14.25" customHeight="1">
      <c r="A658" s="165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</row>
    <row r="659" spans="1:16" ht="14.25" customHeight="1">
      <c r="A659" s="165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</row>
    <row r="660" spans="1:16" ht="14.25" customHeight="1">
      <c r="A660" s="165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</row>
    <row r="661" spans="1:16" ht="14.25" customHeight="1">
      <c r="A661" s="165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</row>
    <row r="662" spans="1:16" ht="14.25" customHeight="1">
      <c r="A662" s="165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</row>
    <row r="663" spans="1:16" ht="14.25" customHeight="1">
      <c r="A663" s="165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</row>
    <row r="664" spans="1:16" ht="14.25" customHeight="1">
      <c r="A664" s="165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</row>
    <row r="665" spans="1:16" ht="14.25" customHeight="1">
      <c r="A665" s="165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</row>
    <row r="666" spans="1:16" ht="14.25" customHeight="1">
      <c r="A666" s="165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</row>
    <row r="667" spans="1:16" ht="14.25" customHeight="1">
      <c r="A667" s="165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</row>
    <row r="668" spans="1:16" ht="14.25" customHeight="1">
      <c r="A668" s="165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</row>
    <row r="669" spans="1:16" ht="14.25" customHeight="1">
      <c r="A669" s="165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</row>
    <row r="670" spans="1:16" ht="14.25" customHeight="1">
      <c r="A670" s="165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</row>
    <row r="671" spans="1:16" ht="14.25" customHeight="1">
      <c r="A671" s="165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</row>
    <row r="672" spans="1:16" ht="14.25" customHeight="1">
      <c r="A672" s="165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</row>
    <row r="673" spans="1:16" ht="14.25" customHeight="1">
      <c r="A673" s="165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</row>
    <row r="674" spans="1:16" ht="14.25" customHeight="1">
      <c r="A674" s="165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</row>
    <row r="675" spans="1:16" ht="14.25" customHeight="1">
      <c r="A675" s="165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</row>
    <row r="676" spans="1:16" ht="14.25" customHeight="1">
      <c r="A676" s="165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</row>
    <row r="677" spans="1:16" ht="14.25" customHeight="1">
      <c r="A677" s="165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</row>
    <row r="678" spans="1:16" ht="14.25" customHeight="1">
      <c r="A678" s="165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</row>
    <row r="679" spans="1:16" ht="14.25" customHeight="1">
      <c r="A679" s="165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</row>
    <row r="680" spans="1:16" ht="14.25" customHeight="1">
      <c r="A680" s="165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</row>
    <row r="681" spans="1:16" ht="14.25" customHeight="1">
      <c r="A681" s="165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</row>
    <row r="682" spans="1:16" ht="14.25" customHeight="1">
      <c r="A682" s="165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</row>
    <row r="683" spans="1:16" ht="14.25" customHeight="1">
      <c r="A683" s="165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</row>
    <row r="684" spans="1:16" ht="14.25" customHeight="1">
      <c r="A684" s="165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</row>
    <row r="685" spans="1:16" ht="14.25" customHeight="1">
      <c r="A685" s="165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</row>
    <row r="686" spans="1:16" ht="14.25" customHeight="1">
      <c r="A686" s="165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</row>
    <row r="687" spans="1:16" ht="14.25" customHeight="1">
      <c r="A687" s="165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</row>
    <row r="688" spans="1:16" ht="14.25" customHeight="1">
      <c r="A688" s="165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</row>
    <row r="689" spans="1:16" ht="14.25" customHeight="1">
      <c r="A689" s="165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</row>
    <row r="690" spans="1:16" ht="14.25" customHeight="1">
      <c r="A690" s="165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</row>
    <row r="691" spans="1:16" ht="14.25" customHeight="1">
      <c r="A691" s="165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</row>
    <row r="692" spans="1:16" ht="14.25" customHeight="1">
      <c r="A692" s="165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</row>
    <row r="693" spans="1:16" ht="14.25" customHeight="1">
      <c r="A693" s="165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</row>
    <row r="694" spans="1:16" ht="14.25" customHeight="1">
      <c r="A694" s="165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</row>
    <row r="695" spans="1:16" ht="14.25" customHeight="1">
      <c r="A695" s="165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</row>
    <row r="696" spans="1:16" ht="14.25" customHeight="1">
      <c r="A696" s="165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</row>
    <row r="697" spans="1:16" ht="14.25" customHeight="1">
      <c r="A697" s="165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</row>
    <row r="698" spans="1:16" ht="14.25" customHeight="1">
      <c r="A698" s="165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</row>
    <row r="699" spans="1:16" ht="14.25" customHeight="1">
      <c r="A699" s="165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</row>
    <row r="700" spans="1:16" ht="14.25" customHeight="1">
      <c r="A700" s="165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</row>
    <row r="701" spans="1:16" ht="14.25" customHeight="1">
      <c r="A701" s="165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</row>
    <row r="702" spans="1:16" ht="14.25" customHeight="1">
      <c r="A702" s="165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</row>
    <row r="703" spans="1:16" ht="14.25" customHeight="1">
      <c r="A703" s="165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</row>
    <row r="704" spans="1:16" ht="14.25" customHeight="1">
      <c r="A704" s="165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</row>
    <row r="705" spans="1:16" ht="14.25" customHeight="1">
      <c r="A705" s="165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</row>
    <row r="706" spans="1:16" ht="14.25" customHeight="1">
      <c r="A706" s="165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</row>
    <row r="707" spans="1:16" ht="14.25" customHeight="1">
      <c r="A707" s="165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</row>
    <row r="708" spans="1:16" ht="14.25" customHeight="1">
      <c r="A708" s="165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</row>
    <row r="709" spans="1:16" ht="14.25" customHeight="1">
      <c r="A709" s="165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</row>
    <row r="710" spans="1:16" ht="14.25" customHeight="1">
      <c r="A710" s="165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</row>
    <row r="711" spans="1:16" ht="14.25" customHeight="1">
      <c r="A711" s="165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</row>
    <row r="712" spans="1:16" ht="14.25" customHeight="1">
      <c r="A712" s="165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</row>
    <row r="713" spans="1:16" ht="14.25" customHeight="1">
      <c r="A713" s="165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</row>
    <row r="714" spans="1:16" ht="14.25" customHeight="1">
      <c r="A714" s="165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</row>
    <row r="715" spans="1:16" ht="14.25" customHeight="1">
      <c r="A715" s="165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</row>
    <row r="716" spans="1:16" ht="14.25" customHeight="1">
      <c r="A716" s="165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</row>
    <row r="717" spans="1:16" ht="14.25" customHeight="1">
      <c r="A717" s="165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</row>
    <row r="718" spans="1:16" ht="14.25" customHeight="1">
      <c r="A718" s="165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</row>
    <row r="719" spans="1:16" ht="14.25" customHeight="1">
      <c r="A719" s="165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</row>
    <row r="720" spans="1:16" ht="14.25" customHeight="1">
      <c r="A720" s="165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</row>
    <row r="721" spans="1:16" ht="14.25" customHeight="1">
      <c r="A721" s="165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</row>
    <row r="722" spans="1:16" ht="14.25" customHeight="1">
      <c r="A722" s="165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</row>
    <row r="723" spans="1:16" ht="14.25" customHeight="1">
      <c r="A723" s="165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</row>
    <row r="724" spans="1:16" ht="14.25" customHeight="1">
      <c r="A724" s="165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</row>
    <row r="725" spans="1:16" ht="14.25" customHeight="1">
      <c r="A725" s="165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</row>
    <row r="726" spans="1:16" ht="14.25" customHeight="1">
      <c r="A726" s="165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</row>
    <row r="727" spans="1:16" ht="14.25" customHeight="1">
      <c r="A727" s="165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</row>
    <row r="728" spans="1:16" ht="14.25" customHeight="1">
      <c r="A728" s="165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</row>
    <row r="729" spans="1:16" ht="14.25" customHeight="1">
      <c r="A729" s="165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</row>
    <row r="730" spans="1:16" ht="14.25" customHeight="1">
      <c r="A730" s="165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</row>
    <row r="731" spans="1:16" ht="14.25" customHeight="1">
      <c r="A731" s="165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</row>
    <row r="732" spans="1:16" ht="14.25" customHeight="1">
      <c r="A732" s="165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</row>
    <row r="733" spans="1:16" ht="14.25" customHeight="1">
      <c r="A733" s="165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</row>
    <row r="734" spans="1:16" ht="14.25" customHeight="1">
      <c r="A734" s="165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</row>
    <row r="735" spans="1:16" ht="14.25" customHeight="1">
      <c r="A735" s="165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</row>
    <row r="736" spans="1:16" ht="14.25" customHeight="1">
      <c r="A736" s="165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</row>
    <row r="737" spans="1:16" ht="14.25" customHeight="1">
      <c r="A737" s="165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</row>
    <row r="738" spans="1:16" ht="14.25" customHeight="1">
      <c r="A738" s="165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</row>
    <row r="739" spans="1:16" ht="14.25" customHeight="1">
      <c r="A739" s="165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</row>
    <row r="740" spans="1:16" ht="14.25" customHeight="1">
      <c r="A740" s="165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</row>
    <row r="741" spans="1:16" ht="14.25" customHeight="1">
      <c r="A741" s="165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</row>
    <row r="742" spans="1:16" ht="14.25" customHeight="1">
      <c r="A742" s="165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</row>
    <row r="743" spans="1:16" ht="14.25" customHeight="1">
      <c r="A743" s="165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</row>
    <row r="744" spans="1:16" ht="14.25" customHeight="1">
      <c r="A744" s="165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</row>
    <row r="745" spans="1:16" ht="14.25" customHeight="1">
      <c r="A745" s="165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</row>
    <row r="746" spans="1:16" ht="14.25" customHeight="1">
      <c r="A746" s="165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</row>
    <row r="747" spans="1:16" ht="14.25" customHeight="1">
      <c r="A747" s="165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</row>
    <row r="748" spans="1:16" ht="14.25" customHeight="1">
      <c r="A748" s="165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</row>
    <row r="749" spans="1:16" ht="14.25" customHeight="1">
      <c r="A749" s="165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</row>
    <row r="750" spans="1:16" ht="14.25" customHeight="1">
      <c r="A750" s="165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</row>
    <row r="751" spans="1:16" ht="14.25" customHeight="1">
      <c r="A751" s="165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</row>
    <row r="752" spans="1:16" ht="14.25" customHeight="1">
      <c r="A752" s="165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</row>
    <row r="753" spans="1:16" ht="14.25" customHeight="1">
      <c r="A753" s="165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</row>
    <row r="754" spans="1:16" ht="14.25" customHeight="1">
      <c r="A754" s="165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</row>
    <row r="755" spans="1:16" ht="14.25" customHeight="1">
      <c r="A755" s="165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</row>
    <row r="756" spans="1:16" ht="14.25" customHeight="1">
      <c r="A756" s="165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</row>
    <row r="757" spans="1:16" ht="14.25" customHeight="1">
      <c r="A757" s="165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</row>
    <row r="758" spans="1:16" ht="14.25" customHeight="1">
      <c r="A758" s="165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</row>
    <row r="759" spans="1:16" ht="14.25" customHeight="1">
      <c r="A759" s="165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</row>
    <row r="760" spans="1:16" ht="14.25" customHeight="1">
      <c r="A760" s="165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</row>
    <row r="761" spans="1:16" ht="14.25" customHeight="1">
      <c r="A761" s="165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</row>
    <row r="762" spans="1:16" ht="14.25" customHeight="1">
      <c r="A762" s="165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</row>
    <row r="763" spans="1:16" ht="14.25" customHeight="1">
      <c r="A763" s="165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</row>
    <row r="764" spans="1:16" ht="14.25" customHeight="1">
      <c r="A764" s="165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</row>
    <row r="765" spans="1:16" ht="14.25" customHeight="1">
      <c r="A765" s="165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</row>
    <row r="766" spans="1:16" ht="14.25" customHeight="1">
      <c r="A766" s="165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</row>
    <row r="767" spans="1:16" ht="14.25" customHeight="1">
      <c r="A767" s="165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</row>
    <row r="768" spans="1:16" ht="14.25" customHeight="1">
      <c r="A768" s="165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</row>
    <row r="769" spans="1:16" ht="14.25" customHeight="1">
      <c r="A769" s="165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</row>
    <row r="770" spans="1:16" ht="14.25" customHeight="1">
      <c r="A770" s="165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</row>
    <row r="771" spans="1:16" ht="14.25" customHeight="1">
      <c r="A771" s="165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</row>
    <row r="772" spans="1:16" ht="14.25" customHeight="1">
      <c r="A772" s="165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</row>
    <row r="773" spans="1:16" ht="14.25" customHeight="1">
      <c r="A773" s="165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</row>
    <row r="774" spans="1:16" ht="14.25" customHeight="1">
      <c r="A774" s="165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</row>
    <row r="775" spans="1:16" ht="14.25" customHeight="1">
      <c r="A775" s="165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</row>
    <row r="776" spans="1:16" ht="14.25" customHeight="1">
      <c r="A776" s="165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</row>
    <row r="777" spans="1:16" ht="14.25" customHeight="1">
      <c r="A777" s="165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</row>
    <row r="778" spans="1:16" ht="14.25" customHeight="1">
      <c r="A778" s="165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</row>
    <row r="779" spans="1:16" ht="14.25" customHeight="1">
      <c r="A779" s="165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</row>
    <row r="780" spans="1:16" ht="14.25" customHeight="1">
      <c r="A780" s="165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</row>
    <row r="781" spans="1:16" ht="14.25" customHeight="1">
      <c r="A781" s="165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</row>
    <row r="782" spans="1:16" ht="14.25" customHeight="1">
      <c r="A782" s="165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</row>
    <row r="783" spans="1:16" ht="14.25" customHeight="1">
      <c r="A783" s="165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</row>
    <row r="784" spans="1:16" ht="14.25" customHeight="1">
      <c r="A784" s="165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</row>
    <row r="785" spans="1:16" ht="14.25" customHeight="1">
      <c r="A785" s="165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</row>
    <row r="786" spans="1:16" ht="14.25" customHeight="1">
      <c r="A786" s="165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</row>
    <row r="787" spans="1:16" ht="14.25" customHeight="1">
      <c r="A787" s="165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</row>
    <row r="788" spans="1:16" ht="14.25" customHeight="1">
      <c r="A788" s="165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</row>
    <row r="789" spans="1:16" ht="14.25" customHeight="1">
      <c r="A789" s="165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</row>
    <row r="790" spans="1:16" ht="14.25" customHeight="1">
      <c r="A790" s="165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</row>
    <row r="791" spans="1:16" ht="14.25" customHeight="1">
      <c r="A791" s="165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</row>
    <row r="792" spans="1:16" ht="14.25" customHeight="1">
      <c r="A792" s="165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</row>
    <row r="793" spans="1:16" ht="14.25" customHeight="1">
      <c r="A793" s="165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</row>
    <row r="794" spans="1:16" ht="14.25" customHeight="1">
      <c r="A794" s="165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</row>
    <row r="795" spans="1:16" ht="14.25" customHeight="1">
      <c r="A795" s="165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</row>
    <row r="796" spans="1:16" ht="14.25" customHeight="1">
      <c r="A796" s="165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</row>
    <row r="797" spans="1:16" ht="14.25" customHeight="1">
      <c r="A797" s="165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</row>
    <row r="798" spans="1:16" ht="14.25" customHeight="1">
      <c r="A798" s="165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</row>
    <row r="799" spans="1:16" ht="14.25" customHeight="1">
      <c r="A799" s="165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</row>
    <row r="800" spans="1:16" ht="14.25" customHeight="1">
      <c r="A800" s="165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</row>
    <row r="801" spans="1:16" ht="14.25" customHeight="1">
      <c r="A801" s="165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</row>
    <row r="802" spans="1:16" ht="14.25" customHeight="1">
      <c r="A802" s="165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</row>
    <row r="803" spans="1:16" ht="14.25" customHeight="1">
      <c r="A803" s="165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</row>
    <row r="804" spans="1:16" ht="14.25" customHeight="1">
      <c r="A804" s="165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</row>
    <row r="805" spans="1:16" ht="14.25" customHeight="1">
      <c r="A805" s="165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</row>
    <row r="806" spans="1:16" ht="14.25" customHeight="1">
      <c r="A806" s="165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</row>
    <row r="807" spans="1:16" ht="14.25" customHeight="1">
      <c r="A807" s="165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</row>
    <row r="808" spans="1:16" ht="14.25" customHeight="1">
      <c r="A808" s="165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</row>
    <row r="809" spans="1:16" ht="14.25" customHeight="1">
      <c r="A809" s="165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</row>
    <row r="810" spans="1:16" ht="14.25" customHeight="1">
      <c r="A810" s="165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</row>
    <row r="811" spans="1:16" ht="14.25" customHeight="1">
      <c r="A811" s="165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</row>
    <row r="812" spans="1:16" ht="14.25" customHeight="1">
      <c r="A812" s="165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</row>
    <row r="813" spans="1:16" ht="14.25" customHeight="1">
      <c r="A813" s="165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</row>
    <row r="814" spans="1:16" ht="14.25" customHeight="1">
      <c r="A814" s="165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</row>
    <row r="815" spans="1:16" ht="14.25" customHeight="1">
      <c r="A815" s="165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</row>
    <row r="816" spans="1:16" ht="14.25" customHeight="1">
      <c r="A816" s="165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</row>
    <row r="817" spans="1:16" ht="14.25" customHeight="1">
      <c r="A817" s="165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</row>
    <row r="818" spans="1:16" ht="14.25" customHeight="1">
      <c r="A818" s="165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</row>
    <row r="819" spans="1:16" ht="14.25" customHeight="1">
      <c r="A819" s="165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</row>
    <row r="820" spans="1:16" ht="14.25" customHeight="1">
      <c r="A820" s="165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</row>
    <row r="821" spans="1:16" ht="14.25" customHeight="1">
      <c r="A821" s="165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</row>
    <row r="822" spans="1:16" ht="14.25" customHeight="1">
      <c r="A822" s="165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</row>
    <row r="823" spans="1:16" ht="14.25" customHeight="1">
      <c r="A823" s="165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</row>
    <row r="824" spans="1:16" ht="14.25" customHeight="1">
      <c r="A824" s="165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</row>
    <row r="825" spans="1:16" ht="14.25" customHeight="1">
      <c r="A825" s="165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</row>
    <row r="826" spans="1:16" ht="14.25" customHeight="1">
      <c r="A826" s="165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</row>
    <row r="827" spans="1:16" ht="14.25" customHeight="1">
      <c r="A827" s="165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</row>
    <row r="828" spans="1:16" ht="14.25" customHeight="1">
      <c r="A828" s="165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</row>
    <row r="829" spans="1:16" ht="14.25" customHeight="1">
      <c r="A829" s="165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</row>
    <row r="830" spans="1:16" ht="14.25" customHeight="1">
      <c r="A830" s="165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</row>
    <row r="831" spans="1:16" ht="14.25" customHeight="1">
      <c r="A831" s="165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</row>
    <row r="832" spans="1:16" ht="14.25" customHeight="1">
      <c r="A832" s="165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</row>
    <row r="833" spans="1:16" ht="14.25" customHeight="1">
      <c r="A833" s="165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</row>
    <row r="834" spans="1:16" ht="14.25" customHeight="1">
      <c r="A834" s="165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</row>
    <row r="835" spans="1:16" ht="14.25" customHeight="1">
      <c r="A835" s="165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</row>
    <row r="836" spans="1:16" ht="14.25" customHeight="1">
      <c r="A836" s="165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</row>
    <row r="837" spans="1:16" ht="14.25" customHeight="1">
      <c r="A837" s="165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</row>
    <row r="838" spans="1:16" ht="14.25" customHeight="1">
      <c r="A838" s="165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</row>
    <row r="839" spans="1:16" ht="14.25" customHeight="1">
      <c r="A839" s="165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</row>
    <row r="840" spans="1:16" ht="14.25" customHeight="1">
      <c r="A840" s="165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</row>
    <row r="841" spans="1:16" ht="14.25" customHeight="1">
      <c r="A841" s="165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</row>
    <row r="842" spans="1:16" ht="14.25" customHeight="1">
      <c r="A842" s="165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</row>
    <row r="843" spans="1:16" ht="14.25" customHeight="1">
      <c r="A843" s="165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</row>
    <row r="844" spans="1:16" ht="14.25" customHeight="1">
      <c r="A844" s="165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</row>
    <row r="845" spans="1:16" ht="14.25" customHeight="1">
      <c r="A845" s="165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</row>
    <row r="846" spans="1:16" ht="14.25" customHeight="1">
      <c r="A846" s="165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</row>
    <row r="847" spans="1:16" ht="14.25" customHeight="1">
      <c r="A847" s="165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</row>
    <row r="848" spans="1:16" ht="14.25" customHeight="1">
      <c r="A848" s="165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</row>
    <row r="849" spans="1:16" ht="14.25" customHeight="1">
      <c r="A849" s="165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</row>
    <row r="850" spans="1:16" ht="14.25" customHeight="1">
      <c r="A850" s="165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</row>
    <row r="851" spans="1:16" ht="14.25" customHeight="1">
      <c r="A851" s="165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</row>
    <row r="852" spans="1:16" ht="14.25" customHeight="1">
      <c r="A852" s="165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</row>
    <row r="853" spans="1:16" ht="14.25" customHeight="1">
      <c r="A853" s="165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</row>
    <row r="854" spans="1:16" ht="14.25" customHeight="1">
      <c r="A854" s="165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</row>
    <row r="855" spans="1:16" ht="14.25" customHeight="1">
      <c r="A855" s="165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</row>
    <row r="856" spans="1:16" ht="14.25" customHeight="1">
      <c r="A856" s="165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</row>
    <row r="857" spans="1:16" ht="14.25" customHeight="1">
      <c r="A857" s="165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</row>
    <row r="858" spans="1:16" ht="14.25" customHeight="1">
      <c r="A858" s="165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</row>
    <row r="859" spans="1:16" ht="14.25" customHeight="1">
      <c r="A859" s="165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</row>
    <row r="860" spans="1:16" ht="14.25" customHeight="1">
      <c r="A860" s="165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</row>
    <row r="861" spans="1:16" ht="14.25" customHeight="1">
      <c r="A861" s="165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</row>
    <row r="862" spans="1:16" ht="14.25" customHeight="1">
      <c r="A862" s="165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</row>
    <row r="863" spans="1:16" ht="14.25" customHeight="1">
      <c r="A863" s="165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</row>
    <row r="864" spans="1:16" ht="14.25" customHeight="1">
      <c r="A864" s="165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</row>
    <row r="865" spans="1:16" ht="14.25" customHeight="1">
      <c r="A865" s="165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</row>
    <row r="866" spans="1:16" ht="14.25" customHeight="1">
      <c r="A866" s="165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</row>
    <row r="867" spans="1:16" ht="14.25" customHeight="1">
      <c r="A867" s="165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</row>
    <row r="868" spans="1:16" ht="14.25" customHeight="1">
      <c r="A868" s="165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</row>
    <row r="869" spans="1:16" ht="14.25" customHeight="1">
      <c r="A869" s="165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</row>
    <row r="870" spans="1:16" ht="14.25" customHeight="1">
      <c r="A870" s="165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</row>
    <row r="871" spans="1:16" ht="14.25" customHeight="1">
      <c r="A871" s="165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</row>
    <row r="872" spans="1:16" ht="14.25" customHeight="1">
      <c r="A872" s="165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</row>
    <row r="873" spans="1:16" ht="14.25" customHeight="1">
      <c r="A873" s="165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</row>
    <row r="874" spans="1:16" ht="14.25" customHeight="1">
      <c r="A874" s="165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</row>
    <row r="875" spans="1:16" ht="14.25" customHeight="1">
      <c r="A875" s="165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</row>
    <row r="876" spans="1:16" ht="14.25" customHeight="1">
      <c r="A876" s="165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</row>
    <row r="877" spans="1:16" ht="14.25" customHeight="1">
      <c r="A877" s="165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</row>
    <row r="878" spans="1:16" ht="14.25" customHeight="1">
      <c r="A878" s="165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</row>
    <row r="879" spans="1:16" ht="14.25" customHeight="1">
      <c r="A879" s="165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</row>
    <row r="880" spans="1:16" ht="14.25" customHeight="1">
      <c r="A880" s="165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</row>
    <row r="881" spans="1:16" ht="14.25" customHeight="1">
      <c r="A881" s="165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</row>
    <row r="882" spans="1:16" ht="14.25" customHeight="1">
      <c r="A882" s="165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</row>
    <row r="883" spans="1:16" ht="14.25" customHeight="1">
      <c r="A883" s="165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</row>
    <row r="884" spans="1:16" ht="14.25" customHeight="1">
      <c r="A884" s="165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</row>
    <row r="885" spans="1:16" ht="14.25" customHeight="1">
      <c r="A885" s="165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</row>
    <row r="886" spans="1:16" ht="14.25" customHeight="1">
      <c r="A886" s="165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</row>
    <row r="887" spans="1:16" ht="14.25" customHeight="1">
      <c r="A887" s="165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</row>
    <row r="888" spans="1:16" ht="14.25" customHeight="1">
      <c r="A888" s="165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</row>
    <row r="889" spans="1:16" ht="14.25" customHeight="1">
      <c r="A889" s="165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</row>
    <row r="890" spans="1:16" ht="14.25" customHeight="1">
      <c r="A890" s="165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</row>
    <row r="891" spans="1:16" ht="14.25" customHeight="1">
      <c r="A891" s="165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</row>
    <row r="892" spans="1:16" ht="14.25" customHeight="1">
      <c r="A892" s="165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</row>
    <row r="893" spans="1:16" ht="14.25" customHeight="1">
      <c r="A893" s="165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</row>
    <row r="894" spans="1:16" ht="14.25" customHeight="1">
      <c r="A894" s="165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</row>
    <row r="895" spans="1:16" ht="14.25" customHeight="1">
      <c r="A895" s="165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</row>
    <row r="896" spans="1:16" ht="14.25" customHeight="1">
      <c r="A896" s="165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</row>
    <row r="897" spans="1:16" ht="14.25" customHeight="1">
      <c r="A897" s="165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</row>
    <row r="898" spans="1:16" ht="14.25" customHeight="1">
      <c r="A898" s="165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</row>
    <row r="899" spans="1:16" ht="14.25" customHeight="1">
      <c r="A899" s="165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</row>
    <row r="900" spans="1:16" ht="14.25" customHeight="1">
      <c r="A900" s="165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</row>
    <row r="901" spans="1:16" ht="14.25" customHeight="1">
      <c r="A901" s="165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</row>
    <row r="902" spans="1:16" ht="14.25" customHeight="1">
      <c r="A902" s="165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</row>
    <row r="903" spans="1:16" ht="14.25" customHeight="1">
      <c r="A903" s="165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</row>
    <row r="904" spans="1:16" ht="14.25" customHeight="1">
      <c r="A904" s="165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</row>
    <row r="905" spans="1:16" ht="14.25" customHeight="1">
      <c r="A905" s="165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</row>
    <row r="906" spans="1:16" ht="14.25" customHeight="1">
      <c r="A906" s="165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</row>
    <row r="907" spans="1:16" ht="14.25" customHeight="1">
      <c r="A907" s="165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</row>
    <row r="908" spans="1:16" ht="14.25" customHeight="1">
      <c r="A908" s="165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</row>
    <row r="909" spans="1:16" ht="14.25" customHeight="1">
      <c r="A909" s="165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</row>
    <row r="910" spans="1:16" ht="14.25" customHeight="1">
      <c r="A910" s="165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</row>
    <row r="911" spans="1:16" ht="14.25" customHeight="1">
      <c r="A911" s="165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</row>
    <row r="912" spans="1:16" ht="14.25" customHeight="1">
      <c r="A912" s="165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</row>
    <row r="913" spans="1:16" ht="14.25" customHeight="1">
      <c r="A913" s="165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</row>
    <row r="914" spans="1:16" ht="14.25" customHeight="1">
      <c r="A914" s="165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</row>
    <row r="915" spans="1:16" ht="14.25" customHeight="1">
      <c r="A915" s="165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</row>
    <row r="916" spans="1:16" ht="14.25" customHeight="1">
      <c r="A916" s="165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</row>
    <row r="917" spans="1:16" ht="14.25" customHeight="1">
      <c r="A917" s="165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</row>
    <row r="918" spans="1:16" ht="14.25" customHeight="1">
      <c r="A918" s="165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</row>
    <row r="919" spans="1:16" ht="14.25" customHeight="1">
      <c r="A919" s="165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</row>
    <row r="920" spans="1:16" ht="14.25" customHeight="1">
      <c r="A920" s="165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</row>
    <row r="921" spans="1:16" ht="14.25" customHeight="1">
      <c r="A921" s="165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</row>
    <row r="922" spans="1:16" ht="14.25" customHeight="1">
      <c r="A922" s="165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</row>
    <row r="923" spans="1:16" ht="14.25" customHeight="1">
      <c r="A923" s="165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</row>
    <row r="924" spans="1:16" ht="14.25" customHeight="1">
      <c r="A924" s="165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</row>
    <row r="925" spans="1:16" ht="14.25" customHeight="1">
      <c r="A925" s="165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</row>
    <row r="926" spans="1:16" ht="14.25" customHeight="1">
      <c r="A926" s="165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</row>
    <row r="927" spans="1:16" ht="14.25" customHeight="1">
      <c r="A927" s="165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</row>
    <row r="928" spans="1:16" ht="14.25" customHeight="1">
      <c r="A928" s="165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</row>
    <row r="929" spans="1:16" ht="14.25" customHeight="1">
      <c r="A929" s="165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</row>
    <row r="930" spans="1:16" ht="14.25" customHeight="1">
      <c r="A930" s="165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</row>
    <row r="931" spans="1:16" ht="14.25" customHeight="1">
      <c r="A931" s="165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</row>
    <row r="932" spans="1:16" ht="14.25" customHeight="1">
      <c r="A932" s="165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</row>
    <row r="933" spans="1:16" ht="14.25" customHeight="1">
      <c r="A933" s="165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</row>
    <row r="934" spans="1:16" ht="14.25" customHeight="1">
      <c r="A934" s="165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</row>
    <row r="935" spans="1:16" ht="14.25" customHeight="1">
      <c r="A935" s="165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</row>
    <row r="936" spans="1:16" ht="14.25" customHeight="1">
      <c r="A936" s="165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</row>
    <row r="937" spans="1:16" ht="14.25" customHeight="1">
      <c r="A937" s="165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</row>
    <row r="938" spans="1:16" ht="14.25" customHeight="1">
      <c r="A938" s="165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</row>
    <row r="939" spans="1:16" ht="14.25" customHeight="1">
      <c r="A939" s="165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</row>
    <row r="940" spans="1:16" ht="14.25" customHeight="1">
      <c r="A940" s="165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</row>
    <row r="941" spans="1:16" ht="14.25" customHeight="1">
      <c r="A941" s="165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</row>
    <row r="942" spans="1:16" ht="14.25" customHeight="1">
      <c r="A942" s="165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</row>
    <row r="943" spans="1:16" ht="14.25" customHeight="1">
      <c r="A943" s="165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</row>
    <row r="944" spans="1:16" ht="14.25" customHeight="1">
      <c r="A944" s="165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</row>
    <row r="945" spans="1:16" ht="14.25" customHeight="1">
      <c r="A945" s="165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</row>
    <row r="946" spans="1:16" ht="14.25" customHeight="1">
      <c r="A946" s="165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</row>
    <row r="947" spans="1:16" ht="14.25" customHeight="1">
      <c r="A947" s="165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</row>
    <row r="948" spans="1:16" ht="14.25" customHeight="1">
      <c r="A948" s="165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</row>
    <row r="949" spans="1:16" ht="14.25" customHeight="1">
      <c r="A949" s="165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</row>
    <row r="950" spans="1:16" ht="14.25" customHeight="1">
      <c r="A950" s="165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</row>
    <row r="951" spans="1:16" ht="14.25" customHeight="1">
      <c r="A951" s="165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</row>
    <row r="952" spans="1:16" ht="14.25" customHeight="1">
      <c r="A952" s="165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</row>
    <row r="953" spans="1:16" ht="14.25" customHeight="1">
      <c r="A953" s="165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</row>
    <row r="954" spans="1:16" ht="14.25" customHeight="1">
      <c r="A954" s="165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</row>
    <row r="955" spans="1:16" ht="14.25" customHeight="1">
      <c r="A955" s="165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</row>
    <row r="956" spans="1:16" ht="14.25" customHeight="1">
      <c r="A956" s="165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</row>
    <row r="957" spans="1:16" ht="14.25" customHeight="1">
      <c r="A957" s="165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</row>
    <row r="958" spans="1:16" ht="14.25" customHeight="1">
      <c r="A958" s="165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</row>
    <row r="959" spans="1:16" ht="14.25" customHeight="1">
      <c r="A959" s="165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</row>
    <row r="960" spans="1:16" ht="14.25" customHeight="1">
      <c r="A960" s="165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</row>
    <row r="961" spans="1:16" ht="14.25" customHeight="1">
      <c r="A961" s="165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</row>
    <row r="962" spans="1:16" ht="14.25" customHeight="1">
      <c r="A962" s="165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</row>
    <row r="963" spans="1:16" ht="14.25" customHeight="1">
      <c r="A963" s="165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</row>
    <row r="964" spans="1:16" ht="14.25" customHeight="1">
      <c r="A964" s="165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</row>
    <row r="965" spans="1:16" ht="14.25" customHeight="1">
      <c r="A965" s="165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</row>
    <row r="966" spans="1:16" ht="14.25" customHeight="1">
      <c r="A966" s="165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</row>
    <row r="967" spans="1:16" ht="14.25" customHeight="1">
      <c r="A967" s="165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</row>
    <row r="968" spans="1:16" ht="14.25" customHeight="1">
      <c r="A968" s="165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</row>
    <row r="969" spans="1:16" ht="14.25" customHeight="1">
      <c r="A969" s="165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</row>
    <row r="970" spans="1:16" ht="14.25" customHeight="1">
      <c r="A970" s="165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</row>
    <row r="971" spans="1:16" ht="14.25" customHeight="1">
      <c r="A971" s="165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</row>
    <row r="972" spans="1:16" ht="14.25" customHeight="1">
      <c r="A972" s="165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</row>
    <row r="973" spans="1:16" ht="14.25" customHeight="1">
      <c r="A973" s="165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</row>
    <row r="974" spans="1:16" ht="14.25" customHeight="1">
      <c r="A974" s="165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</row>
    <row r="975" spans="1:16" ht="14.25" customHeight="1">
      <c r="A975" s="165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</row>
    <row r="976" spans="1:16" ht="14.25" customHeight="1">
      <c r="A976" s="165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</row>
    <row r="977" spans="1:16" ht="14.25" customHeight="1">
      <c r="A977" s="165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</row>
    <row r="978" spans="1:16" ht="14.25" customHeight="1">
      <c r="A978" s="165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</row>
    <row r="979" spans="1:16" ht="14.25" customHeight="1">
      <c r="A979" s="165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</row>
    <row r="980" spans="1:16" ht="14.25" customHeight="1">
      <c r="A980" s="165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</row>
    <row r="981" spans="1:16" ht="14.25" customHeight="1">
      <c r="A981" s="165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</row>
    <row r="982" spans="1:16" ht="14.25" customHeight="1">
      <c r="A982" s="165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</row>
    <row r="983" spans="1:16" ht="14.25" customHeight="1">
      <c r="A983" s="165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</row>
    <row r="984" spans="1:16" ht="14.25" customHeight="1">
      <c r="A984" s="165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</row>
    <row r="985" spans="1:16" ht="14.25" customHeight="1">
      <c r="A985" s="165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</row>
    <row r="986" spans="1:16" ht="14.25" customHeight="1">
      <c r="A986" s="165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</row>
    <row r="987" spans="1:16" ht="14.25" customHeight="1">
      <c r="A987" s="165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</row>
    <row r="988" spans="1:16" ht="14.25" customHeight="1">
      <c r="A988" s="165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</row>
    <row r="989" spans="1:16" ht="14.25" customHeight="1">
      <c r="A989" s="165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</row>
    <row r="990" spans="1:16" ht="14.25" customHeight="1">
      <c r="A990" s="165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</row>
    <row r="991" spans="1:16" ht="14.25" customHeight="1">
      <c r="A991" s="165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</row>
    <row r="992" spans="1:16" ht="14.25" customHeight="1">
      <c r="A992" s="165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</row>
    <row r="993" spans="1:16" ht="14.25" customHeight="1">
      <c r="A993" s="165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</row>
    <row r="994" spans="1:16" ht="14.25" customHeight="1">
      <c r="A994" s="165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</row>
    <row r="995" spans="1:16" ht="14.25" customHeight="1">
      <c r="A995" s="165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</row>
    <row r="996" spans="1:16" ht="14.25" customHeight="1">
      <c r="A996" s="165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</row>
    <row r="997" spans="1:16" ht="14.25" customHeight="1">
      <c r="A997" s="165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</row>
    <row r="998" spans="1:16" ht="14.25" customHeight="1">
      <c r="A998" s="165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</row>
    <row r="999" spans="1:16" ht="14.25" customHeight="1">
      <c r="A999" s="165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</row>
    <row r="1000" spans="1:16" ht="14.25" customHeight="1">
      <c r="A1000" s="165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</row>
  </sheetData>
  <mergeCells count="99">
    <mergeCell ref="A122:F122"/>
    <mergeCell ref="A123:P131"/>
    <mergeCell ref="B52:B53"/>
    <mergeCell ref="B54:B55"/>
    <mergeCell ref="A118:E118"/>
    <mergeCell ref="A119:E119"/>
    <mergeCell ref="A120:F120"/>
    <mergeCell ref="A121:F121"/>
    <mergeCell ref="G122:H122"/>
    <mergeCell ref="I38:I50"/>
    <mergeCell ref="J51:J63"/>
    <mergeCell ref="I64:I67"/>
    <mergeCell ref="J64:J67"/>
    <mergeCell ref="K68:K83"/>
    <mergeCell ref="A7:A37"/>
    <mergeCell ref="B7:B11"/>
    <mergeCell ref="B12:B16"/>
    <mergeCell ref="B17:B21"/>
    <mergeCell ref="B22:B25"/>
    <mergeCell ref="B36:B37"/>
    <mergeCell ref="D3:D5"/>
    <mergeCell ref="G4:G5"/>
    <mergeCell ref="A1:P1"/>
    <mergeCell ref="A2:D2"/>
    <mergeCell ref="K2:P2"/>
    <mergeCell ref="A3:A5"/>
    <mergeCell ref="B3:B5"/>
    <mergeCell ref="C3:C5"/>
    <mergeCell ref="P3:P5"/>
    <mergeCell ref="J4:J5"/>
    <mergeCell ref="E3:E5"/>
    <mergeCell ref="F3:F5"/>
    <mergeCell ref="H4:H5"/>
    <mergeCell ref="I4:I5"/>
    <mergeCell ref="G3:H3"/>
    <mergeCell ref="I3:J3"/>
    <mergeCell ref="K3:L3"/>
    <mergeCell ref="M3:M5"/>
    <mergeCell ref="K4:K5"/>
    <mergeCell ref="L4:L5"/>
    <mergeCell ref="I122:J122"/>
    <mergeCell ref="K122:L122"/>
    <mergeCell ref="O122:P122"/>
    <mergeCell ref="K84:K85"/>
    <mergeCell ref="K86:K92"/>
    <mergeCell ref="L93:L107"/>
    <mergeCell ref="L108:L109"/>
    <mergeCell ref="L110:L116"/>
    <mergeCell ref="O120:P120"/>
    <mergeCell ref="O121:P121"/>
    <mergeCell ref="B84:B85"/>
    <mergeCell ref="B87:B89"/>
    <mergeCell ref="B110:B112"/>
    <mergeCell ref="B113:B116"/>
    <mergeCell ref="B90:B92"/>
    <mergeCell ref="B93:B94"/>
    <mergeCell ref="B95:B96"/>
    <mergeCell ref="B97:B98"/>
    <mergeCell ref="B99:B103"/>
    <mergeCell ref="B104:B106"/>
    <mergeCell ref="B108:B109"/>
    <mergeCell ref="B56:B59"/>
    <mergeCell ref="B60:B63"/>
    <mergeCell ref="A38:A67"/>
    <mergeCell ref="A68:A116"/>
    <mergeCell ref="B26:B29"/>
    <mergeCell ref="B30:B35"/>
    <mergeCell ref="B39:B40"/>
    <mergeCell ref="B41:B42"/>
    <mergeCell ref="B43:B46"/>
    <mergeCell ref="B47:B50"/>
    <mergeCell ref="B65:B67"/>
    <mergeCell ref="B68:B69"/>
    <mergeCell ref="B70:B71"/>
    <mergeCell ref="B72:B73"/>
    <mergeCell ref="B74:B78"/>
    <mergeCell ref="B79:B82"/>
    <mergeCell ref="O38:O67"/>
    <mergeCell ref="P38:P67"/>
    <mergeCell ref="O68:O116"/>
    <mergeCell ref="P68:P116"/>
    <mergeCell ref="P22:P23"/>
    <mergeCell ref="P24:P25"/>
    <mergeCell ref="O26:O29"/>
    <mergeCell ref="P26:P29"/>
    <mergeCell ref="O30:O35"/>
    <mergeCell ref="P30:P35"/>
    <mergeCell ref="P36:P37"/>
    <mergeCell ref="P7:P11"/>
    <mergeCell ref="O12:O16"/>
    <mergeCell ref="P12:P16"/>
    <mergeCell ref="P17:P21"/>
    <mergeCell ref="O36:O37"/>
    <mergeCell ref="O17:O21"/>
    <mergeCell ref="O22:O23"/>
    <mergeCell ref="O24:O25"/>
    <mergeCell ref="N3:N5"/>
    <mergeCell ref="O3:O5"/>
    <mergeCell ref="O7:O11"/>
  </mergeCells>
  <phoneticPr fontId="18" type="noConversion"/>
  <conditionalFormatting sqref="E7:E22 E24:E77 F39:F40">
    <cfRule type="expression" dxfId="3" priority="1">
      <formula>ISTEXT(E7)</formula>
    </cfRule>
  </conditionalFormatting>
  <conditionalFormatting sqref="E79:E81">
    <cfRule type="expression" dxfId="2" priority="18">
      <formula>ISTEXT(E79)</formula>
    </cfRule>
  </conditionalFormatting>
  <conditionalFormatting sqref="E83:E102">
    <cfRule type="expression" dxfId="1" priority="19">
      <formula>ISTEXT(E83)</formula>
    </cfRule>
  </conditionalFormatting>
  <conditionalFormatting sqref="E104:E115">
    <cfRule type="expression" dxfId="0" priority="29">
      <formula>ISTEXT(E104)</formula>
    </cfRule>
  </conditionalFormatting>
  <dataValidations count="5">
    <dataValidation type="list" allowBlank="1" showErrorMessage="1" sqref="B7 B12 B17 B22 B26 B30 B36 B38:B39 B41 B43 B47 B51:B52 B54 B56 B60 B64:B65 B68 B70 B72 B74 B79 B83:B84 B86:B87 B90 B93 B95 B97 B99 B104 B107:B108 B110 B113 B117" xr:uid="{00000000-0002-0000-0100-000000000000}">
      <formula1>교과군</formula1>
    </dataValidation>
    <dataValidation type="list" allowBlank="1" sqref="M7:M116 M117:N117" xr:uid="{00000000-0002-0000-0100-000002000000}">
      <formula1>비고</formula1>
    </dataValidation>
    <dataValidation type="list" allowBlank="1" sqref="N7:N116" xr:uid="{00000000-0002-0000-0100-000003000000}">
      <formula1>과목개설유형</formula1>
    </dataValidation>
    <dataValidation type="list" allowBlank="1" showErrorMessage="1" sqref="C30:C37 C64:C67 C83:C92 C107:C117" xr:uid="{00000000-0002-0000-0100-000004000000}">
      <formula1>과목유형2</formula1>
    </dataValidation>
    <dataValidation type="list" allowBlank="1" showErrorMessage="1" sqref="C7:C29 C38:C63 C68:C82 C93:C106" xr:uid="{00000000-0002-0000-0100-000005000000}">
      <formula1>과목유형</formula1>
    </dataValidation>
  </dataValidations>
  <pageMargins left="0.19685039370078741" right="0.19685039370078741" top="0.19685039370078741" bottom="0.19685039370078741" header="0" footer="0"/>
  <pageSetup paperSize="12" scale="72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INDIRECT(VLOOKUP(LOOKUP(2,1/(B$7:B7&lt;&gt;""),B$7:B7), 데이터베이스!A:B, 2, FALSE) &amp; C7)</xm:f>
          </x14:formula1>
          <xm:sqref>D7:D117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0"/>
  <sheetViews>
    <sheetView workbookViewId="0"/>
  </sheetViews>
  <sheetFormatPr defaultColWidth="14.42578125" defaultRowHeight="15" customHeight="1"/>
  <cols>
    <col min="1" max="1" width="15.85546875" customWidth="1"/>
    <col min="2" max="3" width="10.5703125" customWidth="1"/>
    <col min="4" max="39" width="8.85546875" customWidth="1"/>
  </cols>
  <sheetData>
    <row r="1" spans="1:39" ht="12.75" customHeight="1">
      <c r="A1" s="166" t="s">
        <v>3</v>
      </c>
      <c r="B1" s="166" t="s">
        <v>156</v>
      </c>
      <c r="C1" s="166" t="s">
        <v>157</v>
      </c>
      <c r="D1" s="167" t="s">
        <v>158</v>
      </c>
      <c r="E1" s="168" t="s">
        <v>159</v>
      </c>
      <c r="F1" s="168" t="s">
        <v>160</v>
      </c>
      <c r="G1" s="168" t="s">
        <v>161</v>
      </c>
      <c r="H1" s="168" t="s">
        <v>162</v>
      </c>
      <c r="I1" s="168" t="s">
        <v>163</v>
      </c>
      <c r="J1" s="168" t="s">
        <v>164</v>
      </c>
      <c r="K1" s="168" t="s">
        <v>165</v>
      </c>
      <c r="L1" s="168" t="s">
        <v>166</v>
      </c>
      <c r="M1" s="168" t="s">
        <v>167</v>
      </c>
      <c r="N1" s="168" t="s">
        <v>168</v>
      </c>
      <c r="O1" s="168" t="s">
        <v>169</v>
      </c>
      <c r="P1" s="168" t="s">
        <v>170</v>
      </c>
      <c r="Q1" s="168" t="s">
        <v>171</v>
      </c>
      <c r="R1" s="168" t="s">
        <v>172</v>
      </c>
      <c r="S1" s="168" t="s">
        <v>173</v>
      </c>
      <c r="T1" s="168" t="s">
        <v>174</v>
      </c>
      <c r="U1" s="168" t="s">
        <v>175</v>
      </c>
      <c r="V1" s="168" t="s">
        <v>176</v>
      </c>
      <c r="W1" s="168" t="s">
        <v>177</v>
      </c>
      <c r="X1" s="168" t="s">
        <v>178</v>
      </c>
      <c r="Y1" s="168" t="s">
        <v>179</v>
      </c>
      <c r="Z1" s="168" t="s">
        <v>180</v>
      </c>
      <c r="AA1" s="168" t="s">
        <v>181</v>
      </c>
      <c r="AB1" s="168" t="s">
        <v>182</v>
      </c>
      <c r="AC1" s="168" t="s">
        <v>183</v>
      </c>
      <c r="AD1" s="168" t="s">
        <v>184</v>
      </c>
      <c r="AE1" s="168" t="s">
        <v>185</v>
      </c>
      <c r="AF1" s="168" t="s">
        <v>186</v>
      </c>
      <c r="AG1" s="168" t="s">
        <v>187</v>
      </c>
      <c r="AH1" s="168" t="s">
        <v>188</v>
      </c>
      <c r="AI1" s="168" t="s">
        <v>189</v>
      </c>
      <c r="AJ1" s="168" t="s">
        <v>190</v>
      </c>
      <c r="AK1" s="168" t="s">
        <v>191</v>
      </c>
      <c r="AL1" s="168" t="s">
        <v>192</v>
      </c>
      <c r="AM1" s="168" t="s">
        <v>193</v>
      </c>
    </row>
    <row r="2" spans="1:39" ht="12.75" customHeight="1">
      <c r="A2" s="166" t="s">
        <v>18</v>
      </c>
      <c r="B2" s="166" t="s">
        <v>194</v>
      </c>
      <c r="C2" s="166" t="s">
        <v>158</v>
      </c>
      <c r="D2" s="167" t="s">
        <v>19</v>
      </c>
      <c r="E2" s="169" t="s">
        <v>20</v>
      </c>
      <c r="F2" s="169" t="s">
        <v>24</v>
      </c>
      <c r="G2" s="169" t="s">
        <v>62</v>
      </c>
      <c r="H2" s="169" t="s">
        <v>76</v>
      </c>
      <c r="I2" s="169" t="s">
        <v>27</v>
      </c>
      <c r="J2" s="169" t="s">
        <v>29</v>
      </c>
      <c r="K2" s="169" t="s">
        <v>77</v>
      </c>
      <c r="L2" s="169" t="s">
        <v>65</v>
      </c>
      <c r="M2" s="169" t="s">
        <v>33</v>
      </c>
      <c r="N2" s="169" t="s">
        <v>35</v>
      </c>
      <c r="O2" s="169" t="s">
        <v>66</v>
      </c>
      <c r="P2" s="169" t="s">
        <v>67</v>
      </c>
      <c r="Q2" s="169" t="s">
        <v>39</v>
      </c>
      <c r="R2" s="169" t="s">
        <v>68</v>
      </c>
      <c r="S2" s="170" t="s">
        <v>81</v>
      </c>
      <c r="T2" s="169" t="s">
        <v>132</v>
      </c>
      <c r="U2" s="169" t="s">
        <v>44</v>
      </c>
      <c r="V2" s="169" t="s">
        <v>72</v>
      </c>
      <c r="W2" s="169" t="s">
        <v>85</v>
      </c>
      <c r="X2" s="169" t="s">
        <v>137</v>
      </c>
      <c r="Y2" s="170" t="s">
        <v>49</v>
      </c>
      <c r="Z2" s="169" t="s">
        <v>113</v>
      </c>
      <c r="AA2" s="169" t="s">
        <v>52</v>
      </c>
      <c r="AB2" s="169" t="s">
        <v>58</v>
      </c>
      <c r="AC2" s="169" t="s">
        <v>195</v>
      </c>
      <c r="AD2" s="169" t="s">
        <v>140</v>
      </c>
      <c r="AE2" s="169" t="s">
        <v>196</v>
      </c>
      <c r="AF2" s="169" t="s">
        <v>197</v>
      </c>
      <c r="AG2" s="169" t="s">
        <v>198</v>
      </c>
      <c r="AH2" s="169" t="s">
        <v>199</v>
      </c>
      <c r="AI2" s="170" t="s">
        <v>200</v>
      </c>
      <c r="AJ2" s="169" t="s">
        <v>201</v>
      </c>
      <c r="AK2" s="169" t="s">
        <v>202</v>
      </c>
      <c r="AL2" s="170" t="s">
        <v>147</v>
      </c>
      <c r="AM2" s="169" t="s">
        <v>149</v>
      </c>
    </row>
    <row r="3" spans="1:39" ht="12.75" customHeight="1">
      <c r="A3" s="166" t="s">
        <v>26</v>
      </c>
      <c r="B3" s="166" t="s">
        <v>203</v>
      </c>
      <c r="C3" s="166" t="s">
        <v>158</v>
      </c>
      <c r="D3" s="167" t="s">
        <v>22</v>
      </c>
      <c r="E3" s="169" t="s">
        <v>21</v>
      </c>
      <c r="F3" s="169" t="s">
        <v>25</v>
      </c>
      <c r="G3" s="169" t="s">
        <v>97</v>
      </c>
      <c r="H3" s="169" t="s">
        <v>125</v>
      </c>
      <c r="I3" s="169" t="s">
        <v>28</v>
      </c>
      <c r="J3" s="169" t="s">
        <v>30</v>
      </c>
      <c r="K3" s="169" t="s">
        <v>100</v>
      </c>
      <c r="L3" s="169" t="s">
        <v>128</v>
      </c>
      <c r="M3" s="169" t="s">
        <v>34</v>
      </c>
      <c r="N3" s="170" t="s">
        <v>36</v>
      </c>
      <c r="O3" s="170" t="s">
        <v>79</v>
      </c>
      <c r="P3" s="169" t="s">
        <v>80</v>
      </c>
      <c r="Q3" s="169" t="s">
        <v>40</v>
      </c>
      <c r="R3" s="169" t="s">
        <v>69</v>
      </c>
      <c r="S3" s="169" t="s">
        <v>104</v>
      </c>
      <c r="T3" s="169" t="s">
        <v>108</v>
      </c>
      <c r="U3" s="169" t="s">
        <v>45</v>
      </c>
      <c r="V3" s="170" t="s">
        <v>73</v>
      </c>
      <c r="W3" s="169" t="s">
        <v>109</v>
      </c>
      <c r="X3" s="169" t="s">
        <v>138</v>
      </c>
      <c r="Y3" s="170" t="s">
        <v>50</v>
      </c>
      <c r="Z3" s="169" t="s">
        <v>56</v>
      </c>
      <c r="AA3" s="169" t="s">
        <v>53</v>
      </c>
      <c r="AB3" s="169" t="s">
        <v>60</v>
      </c>
      <c r="AC3" s="169" t="s">
        <v>114</v>
      </c>
      <c r="AD3" s="169" t="s">
        <v>141</v>
      </c>
      <c r="AE3" s="169" t="s">
        <v>90</v>
      </c>
      <c r="AF3" s="169" t="s">
        <v>204</v>
      </c>
      <c r="AG3" s="169" t="s">
        <v>205</v>
      </c>
      <c r="AH3" s="169" t="s">
        <v>206</v>
      </c>
      <c r="AI3" s="169" t="s">
        <v>207</v>
      </c>
      <c r="AJ3" s="169" t="s">
        <v>208</v>
      </c>
      <c r="AK3" s="169" t="s">
        <v>124</v>
      </c>
      <c r="AL3" s="169" t="s">
        <v>123</v>
      </c>
      <c r="AM3" s="169" t="s">
        <v>209</v>
      </c>
    </row>
    <row r="4" spans="1:39" ht="12.75" customHeight="1">
      <c r="A4" s="166" t="s">
        <v>32</v>
      </c>
      <c r="B4" s="166" t="s">
        <v>210</v>
      </c>
      <c r="C4" s="166" t="s">
        <v>158</v>
      </c>
      <c r="D4" s="167" t="s">
        <v>54</v>
      </c>
      <c r="E4" s="171"/>
      <c r="F4" s="169" t="s">
        <v>23</v>
      </c>
      <c r="G4" s="169" t="s">
        <v>127</v>
      </c>
      <c r="H4" s="169" t="s">
        <v>99</v>
      </c>
      <c r="I4" s="169" t="s">
        <v>211</v>
      </c>
      <c r="J4" s="169" t="s">
        <v>31</v>
      </c>
      <c r="K4" s="169" t="s">
        <v>101</v>
      </c>
      <c r="L4" s="169" t="s">
        <v>78</v>
      </c>
      <c r="M4" s="169" t="s">
        <v>212</v>
      </c>
      <c r="N4" s="169" t="s">
        <v>37</v>
      </c>
      <c r="O4" s="170" t="s">
        <v>102</v>
      </c>
      <c r="P4" s="169" t="s">
        <v>103</v>
      </c>
      <c r="Q4" s="169" t="s">
        <v>41</v>
      </c>
      <c r="R4" s="169" t="s">
        <v>70</v>
      </c>
      <c r="S4" s="169" t="s">
        <v>82</v>
      </c>
      <c r="T4" s="169" t="s">
        <v>134</v>
      </c>
      <c r="U4" s="169" t="s">
        <v>46</v>
      </c>
      <c r="V4" s="169" t="s">
        <v>74</v>
      </c>
      <c r="W4" s="169" t="s">
        <v>86</v>
      </c>
      <c r="X4" s="169" t="s">
        <v>139</v>
      </c>
      <c r="Y4" s="172"/>
      <c r="Z4" s="169" t="s">
        <v>55</v>
      </c>
      <c r="AA4" s="172"/>
      <c r="AB4" s="169" t="s">
        <v>213</v>
      </c>
      <c r="AC4" s="169" t="s">
        <v>214</v>
      </c>
      <c r="AD4" s="172"/>
      <c r="AE4" s="172"/>
      <c r="AF4" s="170" t="s">
        <v>117</v>
      </c>
      <c r="AG4" s="169" t="s">
        <v>215</v>
      </c>
      <c r="AH4" s="169" t="s">
        <v>216</v>
      </c>
      <c r="AI4" s="170" t="s">
        <v>217</v>
      </c>
      <c r="AJ4" s="169" t="s">
        <v>218</v>
      </c>
      <c r="AK4" s="172"/>
      <c r="AL4" s="170" t="s">
        <v>148</v>
      </c>
      <c r="AM4" s="172"/>
    </row>
    <row r="5" spans="1:39" ht="12.75" customHeight="1">
      <c r="A5" s="166" t="s">
        <v>38</v>
      </c>
      <c r="B5" s="166" t="s">
        <v>219</v>
      </c>
      <c r="C5" s="166" t="s">
        <v>158</v>
      </c>
      <c r="D5" s="167" t="s">
        <v>51</v>
      </c>
      <c r="E5" s="171"/>
      <c r="F5" s="171"/>
      <c r="G5" s="171"/>
      <c r="H5" s="171"/>
      <c r="I5" s="169" t="s">
        <v>220</v>
      </c>
      <c r="J5" s="171"/>
      <c r="K5" s="169" t="s">
        <v>64</v>
      </c>
      <c r="L5" s="171"/>
      <c r="M5" s="169" t="s">
        <v>221</v>
      </c>
      <c r="N5" s="173"/>
      <c r="O5" s="169" t="s">
        <v>130</v>
      </c>
      <c r="P5" s="173"/>
      <c r="Q5" s="169" t="s">
        <v>42</v>
      </c>
      <c r="R5" s="169" t="s">
        <v>71</v>
      </c>
      <c r="S5" s="169" t="s">
        <v>83</v>
      </c>
      <c r="T5" s="169" t="s">
        <v>135</v>
      </c>
      <c r="U5" s="169" t="s">
        <v>47</v>
      </c>
      <c r="V5" s="170" t="s">
        <v>75</v>
      </c>
      <c r="W5" s="169" t="s">
        <v>110</v>
      </c>
      <c r="X5" s="172"/>
      <c r="Y5" s="172"/>
      <c r="Z5" s="172"/>
      <c r="AA5" s="172"/>
      <c r="AB5" s="172"/>
      <c r="AC5" s="169" t="s">
        <v>116</v>
      </c>
      <c r="AD5" s="172"/>
      <c r="AE5" s="172"/>
      <c r="AF5" s="170" t="s">
        <v>222</v>
      </c>
      <c r="AG5" s="169" t="s">
        <v>223</v>
      </c>
      <c r="AH5" s="169" t="s">
        <v>94</v>
      </c>
      <c r="AI5" s="169" t="s">
        <v>119</v>
      </c>
      <c r="AJ5" s="169" t="s">
        <v>143</v>
      </c>
      <c r="AK5" s="172"/>
      <c r="AL5" s="169" t="s">
        <v>122</v>
      </c>
      <c r="AM5" s="172"/>
    </row>
    <row r="6" spans="1:39" ht="12.75" customHeight="1">
      <c r="A6" s="166" t="s">
        <v>43</v>
      </c>
      <c r="B6" s="166" t="s">
        <v>224</v>
      </c>
      <c r="C6" s="166" t="s">
        <v>158</v>
      </c>
      <c r="D6" s="172"/>
      <c r="E6" s="171"/>
      <c r="F6" s="171"/>
      <c r="G6" s="171"/>
      <c r="H6" s="171"/>
      <c r="I6" s="171"/>
      <c r="J6" s="171"/>
      <c r="K6" s="169" t="s">
        <v>129</v>
      </c>
      <c r="L6" s="171"/>
      <c r="M6" s="171"/>
      <c r="N6" s="171"/>
      <c r="O6" s="169" t="s">
        <v>131</v>
      </c>
      <c r="P6" s="173"/>
      <c r="Q6" s="172"/>
      <c r="R6" s="172"/>
      <c r="S6" s="170" t="s">
        <v>105</v>
      </c>
      <c r="T6" s="169" t="s">
        <v>136</v>
      </c>
      <c r="U6" s="172"/>
      <c r="V6" s="172"/>
      <c r="W6" s="169" t="s">
        <v>87</v>
      </c>
      <c r="X6" s="172"/>
      <c r="Y6" s="172"/>
      <c r="Z6" s="172"/>
      <c r="AA6" s="172"/>
      <c r="AB6" s="172"/>
      <c r="AC6" s="172"/>
      <c r="AD6" s="172"/>
      <c r="AE6" s="172"/>
      <c r="AF6" s="172"/>
      <c r="AG6" s="169" t="s">
        <v>225</v>
      </c>
      <c r="AH6" s="169" t="s">
        <v>93</v>
      </c>
      <c r="AI6" s="170" t="s">
        <v>118</v>
      </c>
      <c r="AJ6" s="169" t="s">
        <v>142</v>
      </c>
      <c r="AK6" s="172"/>
      <c r="AL6" s="170" t="s">
        <v>146</v>
      </c>
      <c r="AM6" s="172"/>
    </row>
    <row r="7" spans="1:39" ht="12.75" customHeight="1">
      <c r="A7" s="166" t="s">
        <v>48</v>
      </c>
      <c r="B7" s="166" t="s">
        <v>226</v>
      </c>
      <c r="C7" s="166" t="s">
        <v>227</v>
      </c>
      <c r="D7" s="172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4"/>
      <c r="P7" s="173"/>
      <c r="Q7" s="172"/>
      <c r="R7" s="172"/>
      <c r="S7" s="170" t="s">
        <v>106</v>
      </c>
      <c r="T7" s="169" t="s">
        <v>133</v>
      </c>
      <c r="U7" s="172"/>
      <c r="V7" s="172"/>
      <c r="W7" s="169" t="s">
        <v>111</v>
      </c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69" t="s">
        <v>228</v>
      </c>
      <c r="AI7" s="169" t="s">
        <v>229</v>
      </c>
      <c r="AJ7" s="169" t="s">
        <v>230</v>
      </c>
      <c r="AK7" s="172"/>
      <c r="AL7" s="169" t="s">
        <v>231</v>
      </c>
      <c r="AM7" s="172"/>
    </row>
    <row r="8" spans="1:39" ht="12.75" customHeight="1">
      <c r="A8" s="166" t="s">
        <v>57</v>
      </c>
      <c r="B8" s="166" t="s">
        <v>232</v>
      </c>
      <c r="C8" s="166" t="s">
        <v>227</v>
      </c>
      <c r="D8" s="172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4"/>
      <c r="P8" s="171"/>
      <c r="Q8" s="172"/>
      <c r="R8" s="172"/>
      <c r="S8" s="170" t="s">
        <v>84</v>
      </c>
      <c r="T8" s="172"/>
      <c r="U8" s="172"/>
      <c r="V8" s="172"/>
      <c r="W8" s="169" t="s">
        <v>112</v>
      </c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69" t="s">
        <v>233</v>
      </c>
      <c r="AI8" s="170" t="s">
        <v>234</v>
      </c>
      <c r="AJ8" s="169" t="s">
        <v>235</v>
      </c>
      <c r="AK8" s="172"/>
      <c r="AL8" s="172"/>
      <c r="AM8" s="172"/>
    </row>
    <row r="9" spans="1:39" ht="12.75" customHeight="1">
      <c r="A9" s="166" t="s">
        <v>89</v>
      </c>
      <c r="B9" s="166" t="s">
        <v>236</v>
      </c>
      <c r="C9" s="166" t="s">
        <v>227</v>
      </c>
      <c r="D9" s="172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3"/>
      <c r="P9" s="171"/>
      <c r="Q9" s="172"/>
      <c r="R9" s="172"/>
      <c r="S9" s="169" t="s">
        <v>107</v>
      </c>
      <c r="T9" s="172"/>
      <c r="U9" s="172"/>
      <c r="V9" s="172"/>
      <c r="W9" s="169" t="s">
        <v>88</v>
      </c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69" t="s">
        <v>237</v>
      </c>
      <c r="AI9" s="169" t="s">
        <v>238</v>
      </c>
      <c r="AJ9" s="169" t="s">
        <v>239</v>
      </c>
      <c r="AK9" s="172"/>
      <c r="AL9" s="172"/>
      <c r="AM9" s="172"/>
    </row>
    <row r="10" spans="1:39" ht="12.75" customHeight="1">
      <c r="A10" s="166" t="s">
        <v>92</v>
      </c>
      <c r="B10" s="166" t="s">
        <v>240</v>
      </c>
      <c r="C10" s="166" t="s">
        <v>227</v>
      </c>
      <c r="D10" s="172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3"/>
      <c r="P10" s="171"/>
      <c r="Q10" s="172"/>
      <c r="R10" s="172"/>
      <c r="S10" s="169" t="s">
        <v>241</v>
      </c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69" t="s">
        <v>95</v>
      </c>
      <c r="AI10" s="170" t="s">
        <v>242</v>
      </c>
      <c r="AJ10" s="169" t="s">
        <v>120</v>
      </c>
      <c r="AK10" s="172"/>
      <c r="AL10" s="172"/>
      <c r="AM10" s="172"/>
    </row>
    <row r="11" spans="1:39" ht="12.75" customHeight="1">
      <c r="A11" s="166" t="s">
        <v>121</v>
      </c>
      <c r="B11" s="166" t="s">
        <v>243</v>
      </c>
      <c r="C11" s="166" t="s">
        <v>227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69" t="s">
        <v>244</v>
      </c>
      <c r="AJ11" s="172"/>
      <c r="AK11" s="172"/>
      <c r="AL11" s="172"/>
      <c r="AM11" s="172"/>
    </row>
    <row r="12" spans="1:39" ht="12.75" customHeight="1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0" t="s">
        <v>245</v>
      </c>
      <c r="AJ12" s="172"/>
      <c r="AK12" s="172"/>
      <c r="AL12" s="172"/>
      <c r="AM12" s="172"/>
    </row>
    <row r="13" spans="1:39" ht="12.75" customHeight="1">
      <c r="A13" s="172"/>
      <c r="B13" s="172"/>
      <c r="C13" s="172"/>
      <c r="D13" s="175" t="s">
        <v>246</v>
      </c>
      <c r="E13" s="175" t="s">
        <v>247</v>
      </c>
      <c r="F13" s="175" t="s">
        <v>248</v>
      </c>
      <c r="G13" s="175" t="s">
        <v>249</v>
      </c>
      <c r="H13" s="172"/>
      <c r="I13" s="172"/>
      <c r="J13" s="176" t="s">
        <v>11</v>
      </c>
      <c r="K13" s="177" t="s">
        <v>12</v>
      </c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69" t="s">
        <v>250</v>
      </c>
      <c r="AJ13" s="172"/>
      <c r="AK13" s="172"/>
      <c r="AL13" s="172"/>
      <c r="AM13" s="172"/>
    </row>
    <row r="14" spans="1:39" ht="12.75" customHeight="1">
      <c r="A14" s="172"/>
      <c r="B14" s="172"/>
      <c r="C14" s="172"/>
      <c r="D14" s="178" t="s">
        <v>20</v>
      </c>
      <c r="E14" s="175">
        <v>4</v>
      </c>
      <c r="F14" s="175">
        <v>3</v>
      </c>
      <c r="G14" s="175">
        <v>4</v>
      </c>
      <c r="H14" s="172"/>
      <c r="I14" s="172"/>
      <c r="J14" s="176" t="s">
        <v>251</v>
      </c>
      <c r="K14" s="177" t="s">
        <v>252</v>
      </c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0" t="s">
        <v>253</v>
      </c>
      <c r="AJ14" s="172"/>
      <c r="AK14" s="172"/>
      <c r="AL14" s="172"/>
      <c r="AM14" s="172"/>
    </row>
    <row r="15" spans="1:39" ht="12.75" customHeight="1">
      <c r="A15" s="172"/>
      <c r="B15" s="172"/>
      <c r="C15" s="172"/>
      <c r="D15" s="178" t="s">
        <v>21</v>
      </c>
      <c r="E15" s="175">
        <v>4</v>
      </c>
      <c r="F15" s="175">
        <v>3</v>
      </c>
      <c r="G15" s="175">
        <v>4</v>
      </c>
      <c r="H15" s="172"/>
      <c r="I15" s="172"/>
      <c r="J15" s="176" t="s">
        <v>254</v>
      </c>
      <c r="K15" s="177" t="s">
        <v>255</v>
      </c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69" t="s">
        <v>256</v>
      </c>
      <c r="AJ15" s="172"/>
      <c r="AK15" s="172"/>
      <c r="AL15" s="172"/>
      <c r="AM15" s="172"/>
    </row>
    <row r="16" spans="1:39" ht="12.75" customHeight="1">
      <c r="A16" s="172"/>
      <c r="B16" s="172"/>
      <c r="C16" s="172"/>
      <c r="D16" s="178" t="s">
        <v>27</v>
      </c>
      <c r="E16" s="175">
        <v>4</v>
      </c>
      <c r="F16" s="175">
        <v>3</v>
      </c>
      <c r="G16" s="175">
        <v>4</v>
      </c>
      <c r="H16" s="172"/>
      <c r="I16" s="172"/>
      <c r="J16" s="176" t="s">
        <v>257</v>
      </c>
      <c r="K16" s="177" t="s">
        <v>258</v>
      </c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0" t="s">
        <v>259</v>
      </c>
      <c r="AJ16" s="172"/>
      <c r="AK16" s="172"/>
      <c r="AL16" s="172"/>
      <c r="AM16" s="172"/>
    </row>
    <row r="17" spans="1:39" ht="12.75" customHeight="1">
      <c r="A17" s="172"/>
      <c r="B17" s="172"/>
      <c r="C17" s="172"/>
      <c r="D17" s="178" t="s">
        <v>28</v>
      </c>
      <c r="E17" s="175">
        <v>4</v>
      </c>
      <c r="F17" s="175">
        <v>3</v>
      </c>
      <c r="G17" s="175">
        <v>4</v>
      </c>
      <c r="H17" s="172"/>
      <c r="I17" s="172"/>
      <c r="J17" s="176" t="s">
        <v>260</v>
      </c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69" t="s">
        <v>261</v>
      </c>
      <c r="AJ17" s="172"/>
      <c r="AK17" s="172"/>
      <c r="AL17" s="172"/>
      <c r="AM17" s="172"/>
    </row>
    <row r="18" spans="1:39" ht="12.75" customHeight="1">
      <c r="A18" s="172"/>
      <c r="B18" s="172"/>
      <c r="C18" s="172"/>
      <c r="D18" s="178" t="s">
        <v>211</v>
      </c>
      <c r="E18" s="175">
        <v>4</v>
      </c>
      <c r="F18" s="175">
        <v>3</v>
      </c>
      <c r="G18" s="175">
        <v>4</v>
      </c>
      <c r="H18" s="172"/>
      <c r="I18" s="172"/>
      <c r="J18" s="176" t="s">
        <v>262</v>
      </c>
      <c r="K18" s="179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69" t="s">
        <v>145</v>
      </c>
      <c r="AJ18" s="172"/>
      <c r="AK18" s="172"/>
      <c r="AL18" s="172"/>
      <c r="AM18" s="172"/>
    </row>
    <row r="19" spans="1:39" ht="12.75" customHeight="1">
      <c r="A19" s="172"/>
      <c r="B19" s="172"/>
      <c r="C19" s="172"/>
      <c r="D19" s="178" t="s">
        <v>220</v>
      </c>
      <c r="E19" s="175">
        <v>4</v>
      </c>
      <c r="F19" s="175">
        <v>3</v>
      </c>
      <c r="G19" s="175">
        <v>4</v>
      </c>
      <c r="H19" s="172"/>
      <c r="I19" s="172"/>
      <c r="J19" s="176" t="s">
        <v>263</v>
      </c>
      <c r="K19" s="179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</row>
    <row r="20" spans="1:39" ht="12.75" customHeight="1">
      <c r="A20" s="172"/>
      <c r="B20" s="172"/>
      <c r="C20" s="172"/>
      <c r="D20" s="178" t="s">
        <v>33</v>
      </c>
      <c r="E20" s="175">
        <v>4</v>
      </c>
      <c r="F20" s="175">
        <v>3</v>
      </c>
      <c r="G20" s="175">
        <v>4</v>
      </c>
      <c r="H20" s="172"/>
      <c r="I20" s="172"/>
      <c r="J20" s="176" t="s">
        <v>264</v>
      </c>
      <c r="K20" s="179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</row>
    <row r="21" spans="1:39" ht="12.75" customHeight="1">
      <c r="A21" s="172"/>
      <c r="B21" s="172"/>
      <c r="C21" s="172"/>
      <c r="D21" s="178" t="s">
        <v>34</v>
      </c>
      <c r="E21" s="175">
        <v>4</v>
      </c>
      <c r="F21" s="175">
        <v>3</v>
      </c>
      <c r="G21" s="175">
        <v>4</v>
      </c>
      <c r="H21" s="172"/>
      <c r="I21" s="172"/>
      <c r="J21" s="176" t="s">
        <v>265</v>
      </c>
      <c r="K21" s="179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</row>
    <row r="22" spans="1:39" ht="12.75" customHeight="1">
      <c r="A22" s="172"/>
      <c r="B22" s="172"/>
      <c r="C22" s="172"/>
      <c r="D22" s="178" t="s">
        <v>212</v>
      </c>
      <c r="E22" s="175">
        <v>4</v>
      </c>
      <c r="F22" s="175">
        <v>3</v>
      </c>
      <c r="G22" s="175">
        <v>4</v>
      </c>
      <c r="H22" s="172"/>
      <c r="I22" s="172"/>
      <c r="J22" s="176"/>
      <c r="K22" s="180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</row>
    <row r="23" spans="1:39" ht="12.75" customHeight="1">
      <c r="A23" s="172"/>
      <c r="B23" s="172"/>
      <c r="C23" s="172"/>
      <c r="D23" s="178" t="s">
        <v>221</v>
      </c>
      <c r="E23" s="175">
        <v>4</v>
      </c>
      <c r="F23" s="175">
        <v>3</v>
      </c>
      <c r="G23" s="175">
        <v>4</v>
      </c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</row>
    <row r="24" spans="1:39" ht="12.75" customHeight="1">
      <c r="A24" s="172"/>
      <c r="B24" s="172"/>
      <c r="C24" s="172"/>
      <c r="D24" s="178" t="s">
        <v>39</v>
      </c>
      <c r="E24" s="175">
        <v>3</v>
      </c>
      <c r="F24" s="175">
        <v>3</v>
      </c>
      <c r="G24" s="175">
        <v>3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</row>
    <row r="25" spans="1:39" ht="12.75" customHeight="1">
      <c r="A25" s="172"/>
      <c r="B25" s="172"/>
      <c r="C25" s="172"/>
      <c r="D25" s="178" t="s">
        <v>40</v>
      </c>
      <c r="E25" s="175">
        <v>3</v>
      </c>
      <c r="F25" s="175">
        <v>3</v>
      </c>
      <c r="G25" s="175">
        <v>3</v>
      </c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</row>
    <row r="26" spans="1:39" ht="12.75" customHeight="1">
      <c r="A26" s="172"/>
      <c r="B26" s="172"/>
      <c r="C26" s="172"/>
      <c r="D26" s="178" t="s">
        <v>41</v>
      </c>
      <c r="E26" s="175">
        <v>4</v>
      </c>
      <c r="F26" s="175">
        <v>3</v>
      </c>
      <c r="G26" s="175">
        <v>4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</row>
    <row r="27" spans="1:39" ht="12.75" customHeight="1">
      <c r="A27" s="172"/>
      <c r="B27" s="172"/>
      <c r="C27" s="172"/>
      <c r="D27" s="178" t="s">
        <v>42</v>
      </c>
      <c r="E27" s="175">
        <v>4</v>
      </c>
      <c r="F27" s="175">
        <v>3</v>
      </c>
      <c r="G27" s="175">
        <v>4</v>
      </c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</row>
    <row r="28" spans="1:39" ht="12.75" customHeight="1">
      <c r="A28" s="172"/>
      <c r="B28" s="172"/>
      <c r="C28" s="172"/>
      <c r="D28" s="178" t="s">
        <v>44</v>
      </c>
      <c r="E28" s="175">
        <v>4</v>
      </c>
      <c r="F28" s="175">
        <v>3</v>
      </c>
      <c r="G28" s="175">
        <v>4</v>
      </c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</row>
    <row r="29" spans="1:39" ht="12.75" customHeight="1">
      <c r="A29" s="172"/>
      <c r="B29" s="172"/>
      <c r="C29" s="172"/>
      <c r="D29" s="178" t="s">
        <v>45</v>
      </c>
      <c r="E29" s="175">
        <v>4</v>
      </c>
      <c r="F29" s="175">
        <v>3</v>
      </c>
      <c r="G29" s="175">
        <v>4</v>
      </c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</row>
    <row r="30" spans="1:39" ht="12.75" customHeight="1">
      <c r="A30" s="172"/>
      <c r="B30" s="172"/>
      <c r="C30" s="172"/>
      <c r="D30" s="178" t="s">
        <v>46</v>
      </c>
      <c r="E30" s="175">
        <v>1</v>
      </c>
      <c r="F30" s="175">
        <v>1</v>
      </c>
      <c r="G30" s="175">
        <v>1</v>
      </c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</row>
    <row r="31" spans="1:39" ht="12.75" customHeight="1">
      <c r="A31" s="172"/>
      <c r="B31" s="172"/>
      <c r="C31" s="172"/>
      <c r="D31" s="178" t="s">
        <v>47</v>
      </c>
      <c r="E31" s="175">
        <v>1</v>
      </c>
      <c r="F31" s="175">
        <v>1</v>
      </c>
      <c r="G31" s="175">
        <v>1</v>
      </c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</row>
    <row r="32" spans="1:39" ht="12.75" customHeight="1">
      <c r="A32" s="172"/>
      <c r="B32" s="172"/>
      <c r="C32" s="172"/>
      <c r="D32" s="178" t="s">
        <v>24</v>
      </c>
      <c r="E32" s="175">
        <v>4</v>
      </c>
      <c r="F32" s="175">
        <v>3</v>
      </c>
      <c r="G32" s="175">
        <v>5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</row>
    <row r="33" spans="1:39" ht="12.75" customHeight="1">
      <c r="A33" s="172"/>
      <c r="B33" s="172"/>
      <c r="C33" s="172"/>
      <c r="D33" s="178" t="s">
        <v>25</v>
      </c>
      <c r="E33" s="175">
        <v>4</v>
      </c>
      <c r="F33" s="175">
        <v>3</v>
      </c>
      <c r="G33" s="175">
        <v>5</v>
      </c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</row>
    <row r="34" spans="1:39" ht="12.75" customHeight="1">
      <c r="A34" s="172"/>
      <c r="B34" s="172"/>
      <c r="C34" s="172"/>
      <c r="D34" s="178" t="s">
        <v>23</v>
      </c>
      <c r="E34" s="175">
        <v>4</v>
      </c>
      <c r="F34" s="175">
        <v>3</v>
      </c>
      <c r="G34" s="175">
        <v>5</v>
      </c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</row>
    <row r="35" spans="1:39" ht="12.75" customHeight="1">
      <c r="A35" s="172"/>
      <c r="B35" s="172"/>
      <c r="C35" s="172"/>
      <c r="D35" s="178" t="s">
        <v>29</v>
      </c>
      <c r="E35" s="175">
        <v>4</v>
      </c>
      <c r="F35" s="175">
        <v>3</v>
      </c>
      <c r="G35" s="175">
        <v>5</v>
      </c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</row>
    <row r="36" spans="1:39" ht="12.75" customHeight="1">
      <c r="A36" s="172"/>
      <c r="B36" s="172"/>
      <c r="C36" s="172"/>
      <c r="D36" s="178" t="s">
        <v>30</v>
      </c>
      <c r="E36" s="175">
        <v>4</v>
      </c>
      <c r="F36" s="175">
        <v>3</v>
      </c>
      <c r="G36" s="175">
        <v>5</v>
      </c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</row>
    <row r="37" spans="1:39" ht="12.75" customHeight="1">
      <c r="A37" s="172"/>
      <c r="B37" s="172"/>
      <c r="C37" s="172"/>
      <c r="D37" s="178" t="s">
        <v>31</v>
      </c>
      <c r="E37" s="175">
        <v>4</v>
      </c>
      <c r="F37" s="175">
        <v>3</v>
      </c>
      <c r="G37" s="175">
        <v>5</v>
      </c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</row>
    <row r="38" spans="1:39" ht="12.75" customHeight="1">
      <c r="A38" s="172"/>
      <c r="B38" s="172"/>
      <c r="C38" s="172"/>
      <c r="D38" s="178" t="s">
        <v>35</v>
      </c>
      <c r="E38" s="175">
        <v>4</v>
      </c>
      <c r="F38" s="175">
        <v>3</v>
      </c>
      <c r="G38" s="175">
        <v>5</v>
      </c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</row>
    <row r="39" spans="1:39" ht="12.75" customHeight="1">
      <c r="A39" s="172"/>
      <c r="B39" s="172"/>
      <c r="C39" s="172"/>
      <c r="D39" s="181" t="s">
        <v>36</v>
      </c>
      <c r="E39" s="175">
        <v>4</v>
      </c>
      <c r="F39" s="175">
        <v>3</v>
      </c>
      <c r="G39" s="175">
        <v>5</v>
      </c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</row>
    <row r="40" spans="1:39" ht="12.75" customHeight="1">
      <c r="A40" s="172"/>
      <c r="B40" s="172"/>
      <c r="C40" s="172"/>
      <c r="D40" s="178" t="s">
        <v>37</v>
      </c>
      <c r="E40" s="175">
        <v>4</v>
      </c>
      <c r="F40" s="175">
        <v>3</v>
      </c>
      <c r="G40" s="175">
        <v>5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</row>
    <row r="41" spans="1:39" ht="12.75" customHeight="1">
      <c r="A41" s="172"/>
      <c r="B41" s="172"/>
      <c r="C41" s="172"/>
      <c r="D41" s="178" t="s">
        <v>68</v>
      </c>
      <c r="E41" s="175">
        <v>4</v>
      </c>
      <c r="F41" s="175">
        <v>3</v>
      </c>
      <c r="G41" s="175">
        <v>5</v>
      </c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</row>
    <row r="42" spans="1:39" ht="12.75" customHeight="1">
      <c r="A42" s="172"/>
      <c r="B42" s="172"/>
      <c r="C42" s="172"/>
      <c r="D42" s="178" t="s">
        <v>69</v>
      </c>
      <c r="E42" s="175">
        <v>4</v>
      </c>
      <c r="F42" s="175">
        <v>3</v>
      </c>
      <c r="G42" s="175">
        <v>5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</row>
    <row r="43" spans="1:39" ht="12.75" customHeight="1">
      <c r="A43" s="172"/>
      <c r="B43" s="172"/>
      <c r="C43" s="172"/>
      <c r="D43" s="178" t="s">
        <v>70</v>
      </c>
      <c r="E43" s="175">
        <v>4</v>
      </c>
      <c r="F43" s="175">
        <v>3</v>
      </c>
      <c r="G43" s="175">
        <v>5</v>
      </c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</row>
    <row r="44" spans="1:39" ht="12.75" customHeight="1">
      <c r="A44" s="172"/>
      <c r="B44" s="172"/>
      <c r="C44" s="172"/>
      <c r="D44" s="178" t="s">
        <v>71</v>
      </c>
      <c r="E44" s="175">
        <v>4</v>
      </c>
      <c r="F44" s="175">
        <v>3</v>
      </c>
      <c r="G44" s="175">
        <v>5</v>
      </c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</row>
    <row r="45" spans="1:39" ht="12.75" customHeight="1">
      <c r="A45" s="172"/>
      <c r="B45" s="172"/>
      <c r="C45" s="172"/>
      <c r="D45" s="178" t="s">
        <v>72</v>
      </c>
      <c r="E45" s="175">
        <v>4</v>
      </c>
      <c r="F45" s="175">
        <v>3</v>
      </c>
      <c r="G45" s="175">
        <v>5</v>
      </c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</row>
    <row r="46" spans="1:39" ht="12.75" customHeight="1">
      <c r="A46" s="172"/>
      <c r="B46" s="172"/>
      <c r="C46" s="172"/>
      <c r="D46" s="181" t="s">
        <v>73</v>
      </c>
      <c r="E46" s="175">
        <v>4</v>
      </c>
      <c r="F46" s="175">
        <v>3</v>
      </c>
      <c r="G46" s="175">
        <v>5</v>
      </c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</row>
    <row r="47" spans="1:39" ht="12.75" customHeight="1">
      <c r="A47" s="172"/>
      <c r="B47" s="172"/>
      <c r="C47" s="172"/>
      <c r="D47" s="178" t="s">
        <v>74</v>
      </c>
      <c r="E47" s="175">
        <v>4</v>
      </c>
      <c r="F47" s="175">
        <v>3</v>
      </c>
      <c r="G47" s="175">
        <v>5</v>
      </c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</row>
    <row r="48" spans="1:39" ht="12.75" customHeight="1">
      <c r="A48" s="172"/>
      <c r="B48" s="172"/>
      <c r="C48" s="172"/>
      <c r="D48" s="181" t="s">
        <v>75</v>
      </c>
      <c r="E48" s="175">
        <v>4</v>
      </c>
      <c r="F48" s="175">
        <v>3</v>
      </c>
      <c r="G48" s="175">
        <v>5</v>
      </c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</row>
    <row r="49" spans="1:39" ht="12.75" customHeight="1">
      <c r="A49" s="172"/>
      <c r="B49" s="172"/>
      <c r="C49" s="172"/>
      <c r="D49" s="181" t="s">
        <v>49</v>
      </c>
      <c r="E49" s="175">
        <v>3</v>
      </c>
      <c r="F49" s="175">
        <v>2</v>
      </c>
      <c r="G49" s="175">
        <v>4</v>
      </c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</row>
    <row r="50" spans="1:39" ht="12.75" customHeight="1">
      <c r="A50" s="172"/>
      <c r="B50" s="172"/>
      <c r="C50" s="172"/>
      <c r="D50" s="181" t="s">
        <v>50</v>
      </c>
      <c r="E50" s="175">
        <v>3</v>
      </c>
      <c r="F50" s="175">
        <v>2</v>
      </c>
      <c r="G50" s="175">
        <v>4</v>
      </c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</row>
    <row r="51" spans="1:39" ht="12.75" customHeight="1">
      <c r="A51" s="172"/>
      <c r="B51" s="172"/>
      <c r="C51" s="172"/>
      <c r="D51" s="178" t="s">
        <v>58</v>
      </c>
      <c r="E51" s="175">
        <v>3</v>
      </c>
      <c r="F51" s="175">
        <v>2</v>
      </c>
      <c r="G51" s="175">
        <v>4</v>
      </c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</row>
    <row r="52" spans="1:39" ht="12.75" customHeight="1">
      <c r="A52" s="172"/>
      <c r="B52" s="172"/>
      <c r="C52" s="172"/>
      <c r="D52" s="178" t="s">
        <v>60</v>
      </c>
      <c r="E52" s="175">
        <v>3</v>
      </c>
      <c r="F52" s="175">
        <v>2</v>
      </c>
      <c r="G52" s="175">
        <v>4</v>
      </c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</row>
    <row r="53" spans="1:39" ht="12.75" customHeight="1">
      <c r="A53" s="172"/>
      <c r="B53" s="172"/>
      <c r="C53" s="172"/>
      <c r="D53" s="178" t="s">
        <v>213</v>
      </c>
      <c r="E53" s="175">
        <v>3</v>
      </c>
      <c r="F53" s="175">
        <v>2</v>
      </c>
      <c r="G53" s="175">
        <v>4</v>
      </c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</row>
    <row r="54" spans="1:39" ht="12.75" customHeight="1">
      <c r="A54" s="172"/>
      <c r="B54" s="172"/>
      <c r="C54" s="172"/>
      <c r="D54" s="178" t="s">
        <v>196</v>
      </c>
      <c r="E54" s="175">
        <v>4</v>
      </c>
      <c r="F54" s="175">
        <v>3</v>
      </c>
      <c r="G54" s="175">
        <v>5</v>
      </c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</row>
    <row r="55" spans="1:39" ht="12.75" customHeight="1">
      <c r="A55" s="172"/>
      <c r="B55" s="172"/>
      <c r="C55" s="172"/>
      <c r="D55" s="178" t="s">
        <v>90</v>
      </c>
      <c r="E55" s="175">
        <v>4</v>
      </c>
      <c r="F55" s="175">
        <v>3</v>
      </c>
      <c r="G55" s="175">
        <v>5</v>
      </c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</row>
    <row r="56" spans="1:39" ht="12.75" customHeight="1">
      <c r="A56" s="172"/>
      <c r="B56" s="172"/>
      <c r="C56" s="172"/>
      <c r="D56" s="178" t="s">
        <v>199</v>
      </c>
      <c r="E56" s="175">
        <v>4</v>
      </c>
      <c r="F56" s="175">
        <v>3</v>
      </c>
      <c r="G56" s="175">
        <v>5</v>
      </c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</row>
    <row r="57" spans="1:39" ht="12.75" customHeight="1">
      <c r="A57" s="172"/>
      <c r="B57" s="172"/>
      <c r="C57" s="172"/>
      <c r="D57" s="178" t="s">
        <v>206</v>
      </c>
      <c r="E57" s="175">
        <v>4</v>
      </c>
      <c r="F57" s="175">
        <v>3</v>
      </c>
      <c r="G57" s="175">
        <v>5</v>
      </c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</row>
    <row r="58" spans="1:39" ht="12.75" customHeight="1">
      <c r="A58" s="172"/>
      <c r="B58" s="172"/>
      <c r="C58" s="172"/>
      <c r="D58" s="178" t="s">
        <v>216</v>
      </c>
      <c r="E58" s="175">
        <v>4</v>
      </c>
      <c r="F58" s="175">
        <v>3</v>
      </c>
      <c r="G58" s="175">
        <v>5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</row>
    <row r="59" spans="1:39" ht="12.75" customHeight="1">
      <c r="A59" s="172"/>
      <c r="B59" s="172"/>
      <c r="C59" s="172"/>
      <c r="D59" s="178" t="s">
        <v>94</v>
      </c>
      <c r="E59" s="175">
        <v>4</v>
      </c>
      <c r="F59" s="175">
        <v>3</v>
      </c>
      <c r="G59" s="175">
        <v>5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</row>
    <row r="60" spans="1:39" ht="12.75" customHeight="1">
      <c r="A60" s="172"/>
      <c r="B60" s="172"/>
      <c r="C60" s="172"/>
      <c r="D60" s="178" t="s">
        <v>93</v>
      </c>
      <c r="E60" s="175">
        <v>4</v>
      </c>
      <c r="F60" s="175">
        <v>3</v>
      </c>
      <c r="G60" s="175">
        <v>5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</row>
    <row r="61" spans="1:39" ht="12.75" customHeight="1">
      <c r="A61" s="172"/>
      <c r="B61" s="172"/>
      <c r="C61" s="172"/>
      <c r="D61" s="178" t="s">
        <v>228</v>
      </c>
      <c r="E61" s="175">
        <v>4</v>
      </c>
      <c r="F61" s="175">
        <v>3</v>
      </c>
      <c r="G61" s="175">
        <v>5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</row>
    <row r="62" spans="1:39" ht="12.75" customHeight="1">
      <c r="A62" s="172"/>
      <c r="B62" s="172"/>
      <c r="C62" s="172"/>
      <c r="D62" s="178" t="s">
        <v>233</v>
      </c>
      <c r="E62" s="175">
        <v>4</v>
      </c>
      <c r="F62" s="175">
        <v>3</v>
      </c>
      <c r="G62" s="175">
        <v>5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</row>
    <row r="63" spans="1:39" ht="12.75" customHeight="1">
      <c r="A63" s="172"/>
      <c r="B63" s="172"/>
      <c r="C63" s="172"/>
      <c r="D63" s="178" t="s">
        <v>237</v>
      </c>
      <c r="E63" s="175">
        <v>4</v>
      </c>
      <c r="F63" s="175">
        <v>3</v>
      </c>
      <c r="G63" s="175">
        <v>5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</row>
    <row r="64" spans="1:39" ht="12.75" customHeight="1">
      <c r="A64" s="172"/>
      <c r="B64" s="172"/>
      <c r="C64" s="172"/>
      <c r="D64" s="178" t="s">
        <v>95</v>
      </c>
      <c r="E64" s="175">
        <v>4</v>
      </c>
      <c r="F64" s="175">
        <v>3</v>
      </c>
      <c r="G64" s="175">
        <v>5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</row>
    <row r="65" spans="1:39" ht="12.75" customHeight="1">
      <c r="A65" s="172"/>
      <c r="B65" s="172"/>
      <c r="C65" s="172"/>
      <c r="D65" s="178" t="s">
        <v>202</v>
      </c>
      <c r="E65" s="175">
        <v>3</v>
      </c>
      <c r="F65" s="175">
        <v>2</v>
      </c>
      <c r="G65" s="175">
        <v>4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</row>
    <row r="66" spans="1:39" ht="12.75" customHeight="1">
      <c r="A66" s="172"/>
      <c r="B66" s="172"/>
      <c r="C66" s="172"/>
      <c r="D66" s="178" t="s">
        <v>124</v>
      </c>
      <c r="E66" s="175">
        <v>3</v>
      </c>
      <c r="F66" s="175">
        <v>2</v>
      </c>
      <c r="G66" s="175">
        <v>4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</row>
    <row r="67" spans="1:39" ht="12.75" customHeight="1">
      <c r="A67" s="172"/>
      <c r="B67" s="172"/>
      <c r="C67" s="172"/>
      <c r="D67" s="178" t="s">
        <v>62</v>
      </c>
      <c r="E67" s="175">
        <v>4</v>
      </c>
      <c r="F67" s="175">
        <v>3</v>
      </c>
      <c r="G67" s="175">
        <v>5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</row>
    <row r="68" spans="1:39" ht="12.75" customHeight="1">
      <c r="A68" s="172"/>
      <c r="B68" s="172"/>
      <c r="C68" s="172"/>
      <c r="D68" s="178" t="s">
        <v>97</v>
      </c>
      <c r="E68" s="175">
        <v>4</v>
      </c>
      <c r="F68" s="175">
        <v>3</v>
      </c>
      <c r="G68" s="175">
        <v>5</v>
      </c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</row>
    <row r="69" spans="1:39" ht="12.75" customHeight="1">
      <c r="A69" s="172"/>
      <c r="B69" s="172"/>
      <c r="C69" s="172"/>
      <c r="D69" s="178" t="s">
        <v>127</v>
      </c>
      <c r="E69" s="175">
        <v>4</v>
      </c>
      <c r="F69" s="175">
        <v>3</v>
      </c>
      <c r="G69" s="175">
        <v>5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</row>
    <row r="70" spans="1:39" ht="12.75" customHeight="1">
      <c r="A70" s="172"/>
      <c r="B70" s="172"/>
      <c r="C70" s="172"/>
      <c r="D70" s="178" t="s">
        <v>77</v>
      </c>
      <c r="E70" s="175">
        <v>4</v>
      </c>
      <c r="F70" s="175">
        <v>3</v>
      </c>
      <c r="G70" s="175">
        <v>5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</row>
    <row r="71" spans="1:39" ht="12.75" customHeight="1">
      <c r="A71" s="172"/>
      <c r="B71" s="172"/>
      <c r="C71" s="172"/>
      <c r="D71" s="178" t="s">
        <v>100</v>
      </c>
      <c r="E71" s="175">
        <v>4</v>
      </c>
      <c r="F71" s="175">
        <v>3</v>
      </c>
      <c r="G71" s="175">
        <v>5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</row>
    <row r="72" spans="1:39" ht="12.75" customHeight="1">
      <c r="A72" s="172"/>
      <c r="B72" s="172"/>
      <c r="C72" s="172"/>
      <c r="D72" s="178" t="s">
        <v>101</v>
      </c>
      <c r="E72" s="175">
        <v>4</v>
      </c>
      <c r="F72" s="175">
        <v>3</v>
      </c>
      <c r="G72" s="175">
        <v>5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</row>
    <row r="73" spans="1:39" ht="12.75" customHeight="1">
      <c r="A73" s="172"/>
      <c r="B73" s="172"/>
      <c r="C73" s="172"/>
      <c r="D73" s="178" t="s">
        <v>64</v>
      </c>
      <c r="E73" s="175">
        <v>4</v>
      </c>
      <c r="F73" s="175">
        <v>3</v>
      </c>
      <c r="G73" s="175">
        <v>5</v>
      </c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</row>
    <row r="74" spans="1:39" ht="12.75" customHeight="1">
      <c r="A74" s="172"/>
      <c r="B74" s="172"/>
      <c r="C74" s="172"/>
      <c r="D74" s="178" t="s">
        <v>129</v>
      </c>
      <c r="E74" s="175">
        <v>4</v>
      </c>
      <c r="F74" s="175">
        <v>3</v>
      </c>
      <c r="G74" s="175">
        <v>5</v>
      </c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</row>
    <row r="75" spans="1:39" ht="12.75" customHeight="1">
      <c r="A75" s="172"/>
      <c r="B75" s="172"/>
      <c r="C75" s="172"/>
      <c r="D75" s="178" t="s">
        <v>66</v>
      </c>
      <c r="E75" s="175">
        <v>4</v>
      </c>
      <c r="F75" s="175">
        <v>3</v>
      </c>
      <c r="G75" s="175">
        <v>5</v>
      </c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</row>
    <row r="76" spans="1:39" ht="12.75" customHeight="1">
      <c r="A76" s="172"/>
      <c r="B76" s="172"/>
      <c r="C76" s="172"/>
      <c r="D76" s="181" t="s">
        <v>79</v>
      </c>
      <c r="E76" s="175">
        <v>4</v>
      </c>
      <c r="F76" s="175">
        <v>3</v>
      </c>
      <c r="G76" s="175">
        <v>5</v>
      </c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</row>
    <row r="77" spans="1:39" ht="12.75" customHeight="1">
      <c r="A77" s="172"/>
      <c r="B77" s="172"/>
      <c r="C77" s="172"/>
      <c r="D77" s="181" t="s">
        <v>102</v>
      </c>
      <c r="E77" s="175">
        <v>4</v>
      </c>
      <c r="F77" s="175">
        <v>3</v>
      </c>
      <c r="G77" s="175">
        <v>5</v>
      </c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</row>
    <row r="78" spans="1:39" ht="12.75" customHeight="1">
      <c r="A78" s="172"/>
      <c r="B78" s="172"/>
      <c r="C78" s="172"/>
      <c r="D78" s="178" t="s">
        <v>130</v>
      </c>
      <c r="E78" s="175">
        <v>4</v>
      </c>
      <c r="F78" s="175">
        <v>3</v>
      </c>
      <c r="G78" s="175">
        <v>5</v>
      </c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</row>
    <row r="79" spans="1:39" ht="12.75" customHeight="1">
      <c r="A79" s="172"/>
      <c r="B79" s="172"/>
      <c r="C79" s="172"/>
      <c r="D79" s="178" t="s">
        <v>131</v>
      </c>
      <c r="E79" s="175">
        <v>4</v>
      </c>
      <c r="F79" s="175">
        <v>3</v>
      </c>
      <c r="G79" s="175">
        <v>5</v>
      </c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</row>
    <row r="80" spans="1:39" ht="12.75" customHeight="1">
      <c r="A80" s="172"/>
      <c r="B80" s="172"/>
      <c r="C80" s="172"/>
      <c r="D80" s="181" t="s">
        <v>81</v>
      </c>
      <c r="E80" s="175">
        <v>4</v>
      </c>
      <c r="F80" s="175">
        <v>3</v>
      </c>
      <c r="G80" s="175">
        <v>5</v>
      </c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</row>
    <row r="81" spans="1:39" ht="12.75" customHeight="1">
      <c r="A81" s="172"/>
      <c r="B81" s="172"/>
      <c r="C81" s="172"/>
      <c r="D81" s="178" t="s">
        <v>104</v>
      </c>
      <c r="E81" s="175">
        <v>4</v>
      </c>
      <c r="F81" s="175">
        <v>3</v>
      </c>
      <c r="G81" s="175">
        <v>5</v>
      </c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</row>
    <row r="82" spans="1:39" ht="12.75" customHeight="1">
      <c r="A82" s="172"/>
      <c r="B82" s="172"/>
      <c r="C82" s="172"/>
      <c r="D82" s="178" t="s">
        <v>82</v>
      </c>
      <c r="E82" s="175">
        <v>4</v>
      </c>
      <c r="F82" s="175">
        <v>3</v>
      </c>
      <c r="G82" s="175">
        <v>5</v>
      </c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</row>
    <row r="83" spans="1:39" ht="12.75" customHeight="1">
      <c r="A83" s="172"/>
      <c r="B83" s="172"/>
      <c r="C83" s="172"/>
      <c r="D83" s="178" t="s">
        <v>83</v>
      </c>
      <c r="E83" s="175">
        <v>4</v>
      </c>
      <c r="F83" s="175">
        <v>3</v>
      </c>
      <c r="G83" s="175">
        <v>5</v>
      </c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</row>
    <row r="84" spans="1:39" ht="12.75" customHeight="1">
      <c r="A84" s="172"/>
      <c r="B84" s="172"/>
      <c r="C84" s="172"/>
      <c r="D84" s="181" t="s">
        <v>105</v>
      </c>
      <c r="E84" s="175">
        <v>4</v>
      </c>
      <c r="F84" s="175">
        <v>3</v>
      </c>
      <c r="G84" s="175">
        <v>5</v>
      </c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</row>
    <row r="85" spans="1:39" ht="12.75" customHeight="1">
      <c r="A85" s="172"/>
      <c r="B85" s="172"/>
      <c r="C85" s="172"/>
      <c r="D85" s="181" t="s">
        <v>106</v>
      </c>
      <c r="E85" s="175">
        <v>4</v>
      </c>
      <c r="F85" s="175">
        <v>3</v>
      </c>
      <c r="G85" s="175">
        <v>5</v>
      </c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</row>
    <row r="86" spans="1:39" ht="12.75" customHeight="1">
      <c r="A86" s="172"/>
      <c r="B86" s="172"/>
      <c r="C86" s="172"/>
      <c r="D86" s="181" t="s">
        <v>84</v>
      </c>
      <c r="E86" s="175">
        <v>4</v>
      </c>
      <c r="F86" s="175">
        <v>3</v>
      </c>
      <c r="G86" s="175">
        <v>5</v>
      </c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</row>
    <row r="87" spans="1:39" ht="12.75" customHeight="1">
      <c r="A87" s="172"/>
      <c r="B87" s="172"/>
      <c r="C87" s="172"/>
      <c r="D87" s="178" t="s">
        <v>107</v>
      </c>
      <c r="E87" s="175">
        <v>4</v>
      </c>
      <c r="F87" s="175">
        <v>3</v>
      </c>
      <c r="G87" s="175">
        <v>5</v>
      </c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</row>
    <row r="88" spans="1:39" ht="12.75" customHeight="1">
      <c r="A88" s="172"/>
      <c r="B88" s="172"/>
      <c r="C88" s="172"/>
      <c r="D88" s="178" t="s">
        <v>241</v>
      </c>
      <c r="E88" s="175">
        <v>4</v>
      </c>
      <c r="F88" s="175">
        <v>3</v>
      </c>
      <c r="G88" s="175">
        <v>5</v>
      </c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</row>
    <row r="89" spans="1:39" ht="12.75" customHeight="1">
      <c r="A89" s="172"/>
      <c r="B89" s="172"/>
      <c r="C89" s="172"/>
      <c r="D89" s="178" t="s">
        <v>85</v>
      </c>
      <c r="E89" s="175">
        <v>4</v>
      </c>
      <c r="F89" s="175">
        <v>3</v>
      </c>
      <c r="G89" s="175">
        <v>5</v>
      </c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</row>
    <row r="90" spans="1:39" ht="12.75" customHeight="1">
      <c r="A90" s="172"/>
      <c r="B90" s="172"/>
      <c r="C90" s="172"/>
      <c r="D90" s="178" t="s">
        <v>109</v>
      </c>
      <c r="E90" s="175">
        <v>4</v>
      </c>
      <c r="F90" s="175">
        <v>3</v>
      </c>
      <c r="G90" s="175">
        <v>5</v>
      </c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</row>
    <row r="91" spans="1:39" ht="12.75" customHeight="1">
      <c r="A91" s="172"/>
      <c r="B91" s="172"/>
      <c r="C91" s="172"/>
      <c r="D91" s="178" t="s">
        <v>86</v>
      </c>
      <c r="E91" s="175">
        <v>4</v>
      </c>
      <c r="F91" s="175">
        <v>3</v>
      </c>
      <c r="G91" s="175">
        <v>5</v>
      </c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</row>
    <row r="92" spans="1:39" ht="12.75" customHeight="1">
      <c r="A92" s="172"/>
      <c r="B92" s="172"/>
      <c r="C92" s="172"/>
      <c r="D92" s="178" t="s">
        <v>110</v>
      </c>
      <c r="E92" s="175">
        <v>4</v>
      </c>
      <c r="F92" s="175">
        <v>3</v>
      </c>
      <c r="G92" s="175">
        <v>5</v>
      </c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</row>
    <row r="93" spans="1:39" ht="12.75" customHeight="1">
      <c r="A93" s="172"/>
      <c r="B93" s="172"/>
      <c r="C93" s="172"/>
      <c r="D93" s="178" t="s">
        <v>87</v>
      </c>
      <c r="E93" s="175">
        <v>4</v>
      </c>
      <c r="F93" s="175">
        <v>3</v>
      </c>
      <c r="G93" s="175">
        <v>5</v>
      </c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</row>
    <row r="94" spans="1:39" ht="12.75" customHeight="1">
      <c r="A94" s="172"/>
      <c r="B94" s="172"/>
      <c r="C94" s="172"/>
      <c r="D94" s="178" t="s">
        <v>111</v>
      </c>
      <c r="E94" s="175">
        <v>4</v>
      </c>
      <c r="F94" s="175">
        <v>3</v>
      </c>
      <c r="G94" s="175">
        <v>5</v>
      </c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</row>
    <row r="95" spans="1:39" ht="12.75" customHeight="1">
      <c r="A95" s="172"/>
      <c r="B95" s="172"/>
      <c r="C95" s="172"/>
      <c r="D95" s="178" t="s">
        <v>112</v>
      </c>
      <c r="E95" s="175">
        <v>4</v>
      </c>
      <c r="F95" s="175">
        <v>3</v>
      </c>
      <c r="G95" s="175">
        <v>5</v>
      </c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</row>
    <row r="96" spans="1:39" ht="12.75" customHeight="1">
      <c r="A96" s="172"/>
      <c r="B96" s="172"/>
      <c r="C96" s="172"/>
      <c r="D96" s="178" t="s">
        <v>88</v>
      </c>
      <c r="E96" s="175">
        <v>4</v>
      </c>
      <c r="F96" s="175">
        <v>3</v>
      </c>
      <c r="G96" s="175">
        <v>5</v>
      </c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</row>
    <row r="97" spans="1:39" ht="12.75" customHeight="1">
      <c r="A97" s="172"/>
      <c r="B97" s="172"/>
      <c r="C97" s="172"/>
      <c r="D97" s="178" t="s">
        <v>113</v>
      </c>
      <c r="E97" s="175">
        <v>3</v>
      </c>
      <c r="F97" s="175">
        <v>2</v>
      </c>
      <c r="G97" s="175">
        <v>4</v>
      </c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</row>
    <row r="98" spans="1:39" ht="12.75" customHeight="1">
      <c r="A98" s="172"/>
      <c r="B98" s="172"/>
      <c r="C98" s="172"/>
      <c r="D98" s="178" t="s">
        <v>56</v>
      </c>
      <c r="E98" s="182">
        <v>2</v>
      </c>
      <c r="F98" s="182">
        <v>1</v>
      </c>
      <c r="G98" s="182">
        <v>2</v>
      </c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</row>
    <row r="99" spans="1:39" ht="12.75" customHeight="1">
      <c r="A99" s="172"/>
      <c r="B99" s="172"/>
      <c r="C99" s="172"/>
      <c r="D99" s="178" t="s">
        <v>55</v>
      </c>
      <c r="E99" s="182">
        <v>2</v>
      </c>
      <c r="F99" s="182">
        <v>1</v>
      </c>
      <c r="G99" s="182">
        <v>2</v>
      </c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</row>
    <row r="100" spans="1:39" ht="12.75" customHeight="1">
      <c r="A100" s="172"/>
      <c r="B100" s="172"/>
      <c r="C100" s="172"/>
      <c r="D100" s="178" t="s">
        <v>195</v>
      </c>
      <c r="E100" s="175">
        <v>3</v>
      </c>
      <c r="F100" s="175">
        <v>2</v>
      </c>
      <c r="G100" s="175">
        <v>4</v>
      </c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</row>
    <row r="101" spans="1:39" ht="12.75" customHeight="1">
      <c r="A101" s="172"/>
      <c r="B101" s="172"/>
      <c r="C101" s="172"/>
      <c r="D101" s="178" t="s">
        <v>114</v>
      </c>
      <c r="E101" s="175">
        <v>3</v>
      </c>
      <c r="F101" s="175">
        <v>2</v>
      </c>
      <c r="G101" s="175">
        <v>4</v>
      </c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</row>
    <row r="102" spans="1:39" ht="12.75" customHeight="1">
      <c r="A102" s="172"/>
      <c r="B102" s="172"/>
      <c r="C102" s="172"/>
      <c r="D102" s="178" t="s">
        <v>214</v>
      </c>
      <c r="E102" s="175">
        <v>3</v>
      </c>
      <c r="F102" s="175">
        <v>2</v>
      </c>
      <c r="G102" s="175">
        <v>4</v>
      </c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</row>
    <row r="103" spans="1:39" ht="12.75" customHeight="1">
      <c r="A103" s="172"/>
      <c r="B103" s="172"/>
      <c r="C103" s="172"/>
      <c r="D103" s="178" t="s">
        <v>116</v>
      </c>
      <c r="E103" s="175">
        <v>3</v>
      </c>
      <c r="F103" s="175">
        <v>2</v>
      </c>
      <c r="G103" s="175">
        <v>4</v>
      </c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</row>
    <row r="104" spans="1:39" ht="12.75" customHeight="1">
      <c r="A104" s="172"/>
      <c r="B104" s="172"/>
      <c r="C104" s="172"/>
      <c r="D104" s="178" t="s">
        <v>197</v>
      </c>
      <c r="E104" s="175">
        <v>4</v>
      </c>
      <c r="F104" s="175">
        <v>3</v>
      </c>
      <c r="G104" s="175">
        <v>5</v>
      </c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</row>
    <row r="105" spans="1:39" ht="12.75" customHeight="1">
      <c r="A105" s="172"/>
      <c r="B105" s="172"/>
      <c r="C105" s="172"/>
      <c r="D105" s="178" t="s">
        <v>204</v>
      </c>
      <c r="E105" s="175">
        <v>4</v>
      </c>
      <c r="F105" s="175">
        <v>3</v>
      </c>
      <c r="G105" s="175">
        <v>5</v>
      </c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</row>
    <row r="106" spans="1:39" ht="12.75" customHeight="1">
      <c r="A106" s="172"/>
      <c r="B106" s="172"/>
      <c r="C106" s="172"/>
      <c r="D106" s="181" t="s">
        <v>117</v>
      </c>
      <c r="E106" s="175">
        <v>4</v>
      </c>
      <c r="F106" s="175">
        <v>3</v>
      </c>
      <c r="G106" s="175">
        <v>5</v>
      </c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</row>
    <row r="107" spans="1:39" ht="12.75" customHeight="1">
      <c r="A107" s="172"/>
      <c r="B107" s="172"/>
      <c r="C107" s="172"/>
      <c r="D107" s="181" t="s">
        <v>222</v>
      </c>
      <c r="E107" s="175">
        <v>4</v>
      </c>
      <c r="F107" s="175">
        <v>3</v>
      </c>
      <c r="G107" s="175">
        <v>5</v>
      </c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</row>
    <row r="108" spans="1:39" ht="12.75" customHeight="1">
      <c r="A108" s="172"/>
      <c r="B108" s="172"/>
      <c r="C108" s="172"/>
      <c r="D108" s="181" t="s">
        <v>200</v>
      </c>
      <c r="E108" s="175">
        <v>4</v>
      </c>
      <c r="F108" s="175">
        <v>3</v>
      </c>
      <c r="G108" s="175">
        <v>5</v>
      </c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</row>
    <row r="109" spans="1:39" ht="12.75" customHeight="1">
      <c r="A109" s="172"/>
      <c r="B109" s="172"/>
      <c r="C109" s="172"/>
      <c r="D109" s="178" t="s">
        <v>207</v>
      </c>
      <c r="E109" s="175">
        <v>4</v>
      </c>
      <c r="F109" s="175">
        <v>3</v>
      </c>
      <c r="G109" s="175">
        <v>5</v>
      </c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</row>
    <row r="110" spans="1:39" ht="12.75" customHeight="1">
      <c r="A110" s="172"/>
      <c r="B110" s="172"/>
      <c r="C110" s="172"/>
      <c r="D110" s="181" t="s">
        <v>217</v>
      </c>
      <c r="E110" s="175">
        <v>4</v>
      </c>
      <c r="F110" s="175">
        <v>3</v>
      </c>
      <c r="G110" s="175">
        <v>5</v>
      </c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</row>
    <row r="111" spans="1:39" ht="12.75" customHeight="1">
      <c r="A111" s="172"/>
      <c r="B111" s="172"/>
      <c r="C111" s="172"/>
      <c r="D111" s="178" t="s">
        <v>119</v>
      </c>
      <c r="E111" s="175">
        <v>4</v>
      </c>
      <c r="F111" s="175">
        <v>3</v>
      </c>
      <c r="G111" s="175">
        <v>5</v>
      </c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</row>
    <row r="112" spans="1:39" ht="12.75" customHeight="1">
      <c r="A112" s="172"/>
      <c r="B112" s="172"/>
      <c r="C112" s="172"/>
      <c r="D112" s="181" t="s">
        <v>118</v>
      </c>
      <c r="E112" s="175">
        <v>4</v>
      </c>
      <c r="F112" s="175">
        <v>3</v>
      </c>
      <c r="G112" s="175">
        <v>5</v>
      </c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</row>
    <row r="113" spans="1:39" ht="12.75" customHeight="1">
      <c r="A113" s="172"/>
      <c r="B113" s="172"/>
      <c r="C113" s="172"/>
      <c r="D113" s="178" t="s">
        <v>229</v>
      </c>
      <c r="E113" s="175">
        <v>4</v>
      </c>
      <c r="F113" s="175">
        <v>3</v>
      </c>
      <c r="G113" s="175">
        <v>5</v>
      </c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</row>
    <row r="114" spans="1:39" ht="12.75" customHeight="1">
      <c r="A114" s="172"/>
      <c r="B114" s="172"/>
      <c r="C114" s="172"/>
      <c r="D114" s="181" t="s">
        <v>234</v>
      </c>
      <c r="E114" s="175">
        <v>4</v>
      </c>
      <c r="F114" s="175">
        <v>3</v>
      </c>
      <c r="G114" s="175">
        <v>5</v>
      </c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</row>
    <row r="115" spans="1:39" ht="12.75" customHeight="1">
      <c r="A115" s="172"/>
      <c r="B115" s="172"/>
      <c r="C115" s="172"/>
      <c r="D115" s="178" t="s">
        <v>238</v>
      </c>
      <c r="E115" s="175">
        <v>4</v>
      </c>
      <c r="F115" s="175">
        <v>3</v>
      </c>
      <c r="G115" s="175">
        <v>5</v>
      </c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</row>
    <row r="116" spans="1:39" ht="12.75" customHeight="1">
      <c r="A116" s="172"/>
      <c r="B116" s="172"/>
      <c r="C116" s="172"/>
      <c r="D116" s="181" t="s">
        <v>242</v>
      </c>
      <c r="E116" s="175">
        <v>4</v>
      </c>
      <c r="F116" s="175">
        <v>3</v>
      </c>
      <c r="G116" s="175">
        <v>5</v>
      </c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</row>
    <row r="117" spans="1:39" ht="12.75" customHeight="1">
      <c r="A117" s="172"/>
      <c r="B117" s="172"/>
      <c r="C117" s="172"/>
      <c r="D117" s="178" t="s">
        <v>244</v>
      </c>
      <c r="E117" s="175">
        <v>4</v>
      </c>
      <c r="F117" s="175">
        <v>3</v>
      </c>
      <c r="G117" s="175">
        <v>5</v>
      </c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</row>
    <row r="118" spans="1:39" ht="12.75" customHeight="1">
      <c r="A118" s="172"/>
      <c r="B118" s="172"/>
      <c r="C118" s="172"/>
      <c r="D118" s="181" t="s">
        <v>245</v>
      </c>
      <c r="E118" s="175">
        <v>4</v>
      </c>
      <c r="F118" s="175">
        <v>3</v>
      </c>
      <c r="G118" s="175">
        <v>5</v>
      </c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</row>
    <row r="119" spans="1:39" ht="12.75" customHeight="1">
      <c r="A119" s="172"/>
      <c r="B119" s="172"/>
      <c r="C119" s="172"/>
      <c r="D119" s="178" t="s">
        <v>250</v>
      </c>
      <c r="E119" s="175">
        <v>4</v>
      </c>
      <c r="F119" s="175">
        <v>3</v>
      </c>
      <c r="G119" s="175">
        <v>5</v>
      </c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</row>
    <row r="120" spans="1:39" ht="12.75" customHeight="1">
      <c r="A120" s="172"/>
      <c r="B120" s="172"/>
      <c r="C120" s="172"/>
      <c r="D120" s="181" t="s">
        <v>253</v>
      </c>
      <c r="E120" s="175">
        <v>4</v>
      </c>
      <c r="F120" s="175">
        <v>3</v>
      </c>
      <c r="G120" s="175">
        <v>5</v>
      </c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</row>
    <row r="121" spans="1:39" ht="12.75" customHeight="1">
      <c r="A121" s="172"/>
      <c r="B121" s="172"/>
      <c r="C121" s="172"/>
      <c r="D121" s="178" t="s">
        <v>256</v>
      </c>
      <c r="E121" s="175">
        <v>4</v>
      </c>
      <c r="F121" s="175">
        <v>3</v>
      </c>
      <c r="G121" s="175">
        <v>5</v>
      </c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</row>
    <row r="122" spans="1:39" ht="12.75" customHeight="1">
      <c r="A122" s="172"/>
      <c r="B122" s="172"/>
      <c r="C122" s="172"/>
      <c r="D122" s="181" t="s">
        <v>259</v>
      </c>
      <c r="E122" s="175">
        <v>4</v>
      </c>
      <c r="F122" s="175">
        <v>3</v>
      </c>
      <c r="G122" s="175">
        <v>5</v>
      </c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</row>
    <row r="123" spans="1:39" ht="12.75" customHeight="1">
      <c r="A123" s="172"/>
      <c r="B123" s="172"/>
      <c r="C123" s="172"/>
      <c r="D123" s="178" t="s">
        <v>261</v>
      </c>
      <c r="E123" s="175">
        <v>4</v>
      </c>
      <c r="F123" s="175">
        <v>3</v>
      </c>
      <c r="G123" s="175">
        <v>5</v>
      </c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</row>
    <row r="124" spans="1:39" ht="12.75" customHeight="1">
      <c r="A124" s="172"/>
      <c r="B124" s="172"/>
      <c r="C124" s="172"/>
      <c r="D124" s="178" t="s">
        <v>145</v>
      </c>
      <c r="E124" s="175">
        <v>4</v>
      </c>
      <c r="F124" s="175">
        <v>3</v>
      </c>
      <c r="G124" s="175">
        <v>5</v>
      </c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</row>
    <row r="125" spans="1:39" ht="12.75" customHeight="1">
      <c r="A125" s="172"/>
      <c r="B125" s="172"/>
      <c r="C125" s="172"/>
      <c r="D125" s="181" t="s">
        <v>147</v>
      </c>
      <c r="E125" s="175">
        <v>3</v>
      </c>
      <c r="F125" s="175">
        <v>2</v>
      </c>
      <c r="G125" s="175">
        <v>4</v>
      </c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</row>
    <row r="126" spans="1:39" ht="12.75" customHeight="1">
      <c r="A126" s="172"/>
      <c r="B126" s="172"/>
      <c r="C126" s="172"/>
      <c r="D126" s="178" t="s">
        <v>123</v>
      </c>
      <c r="E126" s="175">
        <v>3</v>
      </c>
      <c r="F126" s="175">
        <v>2</v>
      </c>
      <c r="G126" s="175">
        <v>4</v>
      </c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</row>
    <row r="127" spans="1:39" ht="12.75" customHeight="1">
      <c r="A127" s="172"/>
      <c r="B127" s="172"/>
      <c r="C127" s="172"/>
      <c r="D127" s="181" t="s">
        <v>148</v>
      </c>
      <c r="E127" s="175">
        <v>3</v>
      </c>
      <c r="F127" s="175">
        <v>2</v>
      </c>
      <c r="G127" s="175">
        <v>4</v>
      </c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</row>
    <row r="128" spans="1:39" ht="12.75" customHeight="1">
      <c r="A128" s="172"/>
      <c r="B128" s="172"/>
      <c r="C128" s="172"/>
      <c r="D128" s="178" t="s">
        <v>122</v>
      </c>
      <c r="E128" s="175">
        <v>3</v>
      </c>
      <c r="F128" s="175">
        <v>2</v>
      </c>
      <c r="G128" s="175">
        <v>4</v>
      </c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</row>
    <row r="129" spans="1:39" ht="12.75" customHeight="1">
      <c r="A129" s="172"/>
      <c r="B129" s="172"/>
      <c r="C129" s="172"/>
      <c r="D129" s="181" t="s">
        <v>146</v>
      </c>
      <c r="E129" s="175">
        <v>3</v>
      </c>
      <c r="F129" s="175">
        <v>2</v>
      </c>
      <c r="G129" s="175">
        <v>4</v>
      </c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</row>
    <row r="130" spans="1:39" ht="12.75" customHeight="1">
      <c r="A130" s="172"/>
      <c r="B130" s="172"/>
      <c r="C130" s="172"/>
      <c r="D130" s="178" t="s">
        <v>231</v>
      </c>
      <c r="E130" s="175">
        <v>3</v>
      </c>
      <c r="F130" s="175">
        <v>2</v>
      </c>
      <c r="G130" s="175">
        <v>4</v>
      </c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</row>
    <row r="131" spans="1:39" ht="12.75" customHeight="1">
      <c r="A131" s="172"/>
      <c r="B131" s="172"/>
      <c r="C131" s="172"/>
      <c r="D131" s="178" t="s">
        <v>76</v>
      </c>
      <c r="E131" s="175">
        <v>4</v>
      </c>
      <c r="F131" s="175">
        <v>3</v>
      </c>
      <c r="G131" s="175">
        <v>5</v>
      </c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</row>
    <row r="132" spans="1:39" ht="12.75" customHeight="1">
      <c r="A132" s="172"/>
      <c r="B132" s="172"/>
      <c r="C132" s="172"/>
      <c r="D132" s="178" t="s">
        <v>125</v>
      </c>
      <c r="E132" s="175">
        <v>4</v>
      </c>
      <c r="F132" s="175">
        <v>3</v>
      </c>
      <c r="G132" s="175">
        <v>5</v>
      </c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</row>
    <row r="133" spans="1:39" ht="12.75" customHeight="1">
      <c r="A133" s="172"/>
      <c r="B133" s="172"/>
      <c r="C133" s="172"/>
      <c r="D133" s="178" t="s">
        <v>99</v>
      </c>
      <c r="E133" s="175">
        <v>4</v>
      </c>
      <c r="F133" s="175">
        <v>3</v>
      </c>
      <c r="G133" s="175">
        <v>5</v>
      </c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</row>
    <row r="134" spans="1:39" ht="12.75" customHeight="1">
      <c r="A134" s="172"/>
      <c r="B134" s="172"/>
      <c r="C134" s="172"/>
      <c r="D134" s="178" t="s">
        <v>65</v>
      </c>
      <c r="E134" s="175">
        <v>4</v>
      </c>
      <c r="F134" s="175">
        <v>3</v>
      </c>
      <c r="G134" s="175">
        <v>5</v>
      </c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</row>
    <row r="135" spans="1:39" ht="12.75" customHeight="1">
      <c r="A135" s="172"/>
      <c r="B135" s="172"/>
      <c r="C135" s="172"/>
      <c r="D135" s="178" t="s">
        <v>128</v>
      </c>
      <c r="E135" s="175">
        <v>4</v>
      </c>
      <c r="F135" s="175">
        <v>3</v>
      </c>
      <c r="G135" s="175">
        <v>5</v>
      </c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</row>
    <row r="136" spans="1:39" ht="12.75" customHeight="1">
      <c r="A136" s="172"/>
      <c r="B136" s="172"/>
      <c r="C136" s="172"/>
      <c r="D136" s="178" t="s">
        <v>78</v>
      </c>
      <c r="E136" s="175">
        <v>4</v>
      </c>
      <c r="F136" s="175">
        <v>3</v>
      </c>
      <c r="G136" s="175">
        <v>5</v>
      </c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</row>
    <row r="137" spans="1:39" ht="12.75" customHeight="1">
      <c r="A137" s="172"/>
      <c r="B137" s="172"/>
      <c r="C137" s="172"/>
      <c r="D137" s="178" t="s">
        <v>67</v>
      </c>
      <c r="E137" s="175">
        <v>4</v>
      </c>
      <c r="F137" s="175">
        <v>3</v>
      </c>
      <c r="G137" s="175">
        <v>5</v>
      </c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</row>
    <row r="138" spans="1:39" ht="12.75" customHeight="1">
      <c r="A138" s="172"/>
      <c r="B138" s="172"/>
      <c r="C138" s="172"/>
      <c r="D138" s="178" t="s">
        <v>80</v>
      </c>
      <c r="E138" s="175">
        <v>4</v>
      </c>
      <c r="F138" s="175">
        <v>3</v>
      </c>
      <c r="G138" s="175">
        <v>5</v>
      </c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</row>
    <row r="139" spans="1:39" ht="12.75" customHeight="1">
      <c r="A139" s="172"/>
      <c r="B139" s="172"/>
      <c r="C139" s="172"/>
      <c r="D139" s="178" t="s">
        <v>103</v>
      </c>
      <c r="E139" s="175">
        <v>4</v>
      </c>
      <c r="F139" s="175">
        <v>3</v>
      </c>
      <c r="G139" s="175">
        <v>5</v>
      </c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</row>
    <row r="140" spans="1:39" ht="12.75" customHeight="1">
      <c r="A140" s="172"/>
      <c r="B140" s="172"/>
      <c r="C140" s="172"/>
      <c r="D140" s="178" t="s">
        <v>132</v>
      </c>
      <c r="E140" s="175">
        <v>4</v>
      </c>
      <c r="F140" s="175">
        <v>3</v>
      </c>
      <c r="G140" s="175">
        <v>5</v>
      </c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</row>
    <row r="141" spans="1:39" ht="12.75" customHeight="1">
      <c r="A141" s="172"/>
      <c r="B141" s="172"/>
      <c r="C141" s="172"/>
      <c r="D141" s="178" t="s">
        <v>108</v>
      </c>
      <c r="E141" s="175">
        <v>4</v>
      </c>
      <c r="F141" s="175">
        <v>3</v>
      </c>
      <c r="G141" s="175">
        <v>5</v>
      </c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</row>
    <row r="142" spans="1:39" ht="12.75" customHeight="1">
      <c r="A142" s="172"/>
      <c r="B142" s="172"/>
      <c r="C142" s="172"/>
      <c r="D142" s="178" t="s">
        <v>134</v>
      </c>
      <c r="E142" s="175">
        <v>4</v>
      </c>
      <c r="F142" s="175">
        <v>3</v>
      </c>
      <c r="G142" s="175">
        <v>5</v>
      </c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</row>
    <row r="143" spans="1:39" ht="12.75" customHeight="1">
      <c r="A143" s="172"/>
      <c r="B143" s="172"/>
      <c r="C143" s="172"/>
      <c r="D143" s="178" t="s">
        <v>135</v>
      </c>
      <c r="E143" s="175">
        <v>4</v>
      </c>
      <c r="F143" s="175">
        <v>3</v>
      </c>
      <c r="G143" s="175">
        <v>5</v>
      </c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</row>
    <row r="144" spans="1:39" ht="12.75" customHeight="1">
      <c r="A144" s="172"/>
      <c r="B144" s="172"/>
      <c r="C144" s="172"/>
      <c r="D144" s="178" t="s">
        <v>136</v>
      </c>
      <c r="E144" s="175">
        <v>4</v>
      </c>
      <c r="F144" s="175">
        <v>3</v>
      </c>
      <c r="G144" s="175">
        <v>5</v>
      </c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</row>
    <row r="145" spans="1:39" ht="12.75" customHeight="1">
      <c r="A145" s="172"/>
      <c r="B145" s="172"/>
      <c r="C145" s="172"/>
      <c r="D145" s="178" t="s">
        <v>133</v>
      </c>
      <c r="E145" s="175">
        <v>4</v>
      </c>
      <c r="F145" s="175">
        <v>3</v>
      </c>
      <c r="G145" s="175">
        <v>5</v>
      </c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</row>
    <row r="146" spans="1:39" ht="12.75" customHeight="1">
      <c r="A146" s="172"/>
      <c r="B146" s="172"/>
      <c r="C146" s="172"/>
      <c r="D146" s="178" t="s">
        <v>137</v>
      </c>
      <c r="E146" s="175">
        <v>4</v>
      </c>
      <c r="F146" s="175">
        <v>3</v>
      </c>
      <c r="G146" s="175">
        <v>5</v>
      </c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</row>
    <row r="147" spans="1:39" ht="12.75" customHeight="1">
      <c r="A147" s="172"/>
      <c r="B147" s="172"/>
      <c r="C147" s="172"/>
      <c r="D147" s="178" t="s">
        <v>138</v>
      </c>
      <c r="E147" s="175">
        <v>4</v>
      </c>
      <c r="F147" s="175">
        <v>3</v>
      </c>
      <c r="G147" s="175">
        <v>5</v>
      </c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</row>
    <row r="148" spans="1:39" ht="12.75" customHeight="1">
      <c r="A148" s="172"/>
      <c r="B148" s="172"/>
      <c r="C148" s="172"/>
      <c r="D148" s="178" t="s">
        <v>139</v>
      </c>
      <c r="E148" s="175">
        <v>4</v>
      </c>
      <c r="F148" s="175">
        <v>3</v>
      </c>
      <c r="G148" s="175">
        <v>5</v>
      </c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</row>
    <row r="149" spans="1:39" ht="12.75" customHeight="1">
      <c r="A149" s="172"/>
      <c r="B149" s="172"/>
      <c r="C149" s="172"/>
      <c r="D149" s="178" t="s">
        <v>52</v>
      </c>
      <c r="E149" s="175">
        <v>3</v>
      </c>
      <c r="F149" s="175">
        <v>2</v>
      </c>
      <c r="G149" s="175">
        <v>4</v>
      </c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</row>
    <row r="150" spans="1:39" ht="12.75" customHeight="1">
      <c r="A150" s="172"/>
      <c r="B150" s="172"/>
      <c r="C150" s="172"/>
      <c r="D150" s="178" t="s">
        <v>53</v>
      </c>
      <c r="E150" s="175">
        <v>3</v>
      </c>
      <c r="F150" s="175">
        <v>2</v>
      </c>
      <c r="G150" s="175">
        <v>4</v>
      </c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</row>
    <row r="151" spans="1:39" ht="12.75" customHeight="1">
      <c r="A151" s="172"/>
      <c r="B151" s="172"/>
      <c r="C151" s="172"/>
      <c r="D151" s="178" t="s">
        <v>140</v>
      </c>
      <c r="E151" s="175">
        <v>3</v>
      </c>
      <c r="F151" s="175">
        <v>2</v>
      </c>
      <c r="G151" s="175">
        <v>4</v>
      </c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</row>
    <row r="152" spans="1:39" ht="12.75" customHeight="1">
      <c r="A152" s="172"/>
      <c r="B152" s="172"/>
      <c r="C152" s="172"/>
      <c r="D152" s="178" t="s">
        <v>141</v>
      </c>
      <c r="E152" s="175">
        <v>3</v>
      </c>
      <c r="F152" s="175">
        <v>2</v>
      </c>
      <c r="G152" s="175">
        <v>4</v>
      </c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</row>
    <row r="153" spans="1:39" ht="12.75" customHeight="1">
      <c r="A153" s="172"/>
      <c r="B153" s="172"/>
      <c r="C153" s="172"/>
      <c r="D153" s="178" t="s">
        <v>198</v>
      </c>
      <c r="E153" s="175">
        <v>4</v>
      </c>
      <c r="F153" s="175">
        <v>3</v>
      </c>
      <c r="G153" s="175">
        <v>5</v>
      </c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</row>
    <row r="154" spans="1:39" ht="12.75" customHeight="1">
      <c r="A154" s="172"/>
      <c r="B154" s="172"/>
      <c r="C154" s="172"/>
      <c r="D154" s="178" t="s">
        <v>205</v>
      </c>
      <c r="E154" s="175">
        <v>4</v>
      </c>
      <c r="F154" s="175">
        <v>3</v>
      </c>
      <c r="G154" s="175">
        <v>5</v>
      </c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</row>
    <row r="155" spans="1:39" ht="12.75" customHeight="1">
      <c r="A155" s="172"/>
      <c r="B155" s="172"/>
      <c r="C155" s="172"/>
      <c r="D155" s="178" t="s">
        <v>215</v>
      </c>
      <c r="E155" s="182">
        <v>2</v>
      </c>
      <c r="F155" s="182">
        <v>1</v>
      </c>
      <c r="G155" s="182">
        <v>2</v>
      </c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</row>
    <row r="156" spans="1:39" ht="12.75" customHeight="1">
      <c r="A156" s="172"/>
      <c r="B156" s="172"/>
      <c r="C156" s="172"/>
      <c r="D156" s="178" t="s">
        <v>223</v>
      </c>
      <c r="E156" s="175">
        <v>4</v>
      </c>
      <c r="F156" s="175">
        <v>3</v>
      </c>
      <c r="G156" s="175">
        <v>5</v>
      </c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</row>
    <row r="157" spans="1:39" ht="12.75" customHeight="1">
      <c r="A157" s="172"/>
      <c r="B157" s="172"/>
      <c r="C157" s="172"/>
      <c r="D157" s="178" t="s">
        <v>225</v>
      </c>
      <c r="E157" s="175">
        <v>4</v>
      </c>
      <c r="F157" s="175">
        <v>3</v>
      </c>
      <c r="G157" s="175">
        <v>5</v>
      </c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</row>
    <row r="158" spans="1:39" ht="12.75" customHeight="1">
      <c r="A158" s="172"/>
      <c r="B158" s="172"/>
      <c r="C158" s="172"/>
      <c r="D158" s="178" t="s">
        <v>201</v>
      </c>
      <c r="E158" s="175">
        <v>4</v>
      </c>
      <c r="F158" s="175">
        <v>3</v>
      </c>
      <c r="G158" s="175">
        <v>5</v>
      </c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</row>
    <row r="159" spans="1:39" ht="12.75" customHeight="1">
      <c r="A159" s="172"/>
      <c r="B159" s="172"/>
      <c r="C159" s="172"/>
      <c r="D159" s="178" t="s">
        <v>208</v>
      </c>
      <c r="E159" s="175">
        <v>4</v>
      </c>
      <c r="F159" s="175">
        <v>3</v>
      </c>
      <c r="G159" s="175">
        <v>5</v>
      </c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</row>
    <row r="160" spans="1:39" ht="12.75" customHeight="1">
      <c r="A160" s="172"/>
      <c r="B160" s="172"/>
      <c r="C160" s="172"/>
      <c r="D160" s="178" t="s">
        <v>218</v>
      </c>
      <c r="E160" s="175">
        <v>4</v>
      </c>
      <c r="F160" s="175">
        <v>3</v>
      </c>
      <c r="G160" s="175">
        <v>5</v>
      </c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</row>
    <row r="161" spans="1:39" ht="12.75" customHeight="1">
      <c r="A161" s="172"/>
      <c r="B161" s="172"/>
      <c r="C161" s="172"/>
      <c r="D161" s="178" t="s">
        <v>143</v>
      </c>
      <c r="E161" s="175">
        <v>4</v>
      </c>
      <c r="F161" s="175">
        <v>3</v>
      </c>
      <c r="G161" s="175">
        <v>5</v>
      </c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</row>
    <row r="162" spans="1:39" ht="12.75" customHeight="1">
      <c r="A162" s="172"/>
      <c r="B162" s="172"/>
      <c r="C162" s="172"/>
      <c r="D162" s="178" t="s">
        <v>142</v>
      </c>
      <c r="E162" s="175">
        <v>4</v>
      </c>
      <c r="F162" s="175">
        <v>3</v>
      </c>
      <c r="G162" s="175">
        <v>5</v>
      </c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</row>
    <row r="163" spans="1:39" ht="12.75" customHeight="1">
      <c r="A163" s="172"/>
      <c r="B163" s="172"/>
      <c r="C163" s="172"/>
      <c r="D163" s="178" t="s">
        <v>230</v>
      </c>
      <c r="E163" s="175">
        <v>4</v>
      </c>
      <c r="F163" s="175">
        <v>3</v>
      </c>
      <c r="G163" s="175">
        <v>5</v>
      </c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</row>
    <row r="164" spans="1:39" ht="12.75" customHeight="1">
      <c r="A164" s="172"/>
      <c r="B164" s="172"/>
      <c r="C164" s="172"/>
      <c r="D164" s="178" t="s">
        <v>235</v>
      </c>
      <c r="E164" s="175">
        <v>4</v>
      </c>
      <c r="F164" s="175">
        <v>3</v>
      </c>
      <c r="G164" s="175">
        <v>5</v>
      </c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</row>
    <row r="165" spans="1:39" ht="12.75" customHeight="1">
      <c r="A165" s="172"/>
      <c r="B165" s="172"/>
      <c r="C165" s="172"/>
      <c r="D165" s="178" t="s">
        <v>239</v>
      </c>
      <c r="E165" s="175">
        <v>4</v>
      </c>
      <c r="F165" s="175">
        <v>3</v>
      </c>
      <c r="G165" s="175">
        <v>5</v>
      </c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</row>
    <row r="166" spans="1:39" ht="12.75" customHeight="1">
      <c r="A166" s="172"/>
      <c r="B166" s="172"/>
      <c r="C166" s="172"/>
      <c r="D166" s="178" t="s">
        <v>120</v>
      </c>
      <c r="E166" s="175">
        <v>4</v>
      </c>
      <c r="F166" s="175">
        <v>3</v>
      </c>
      <c r="G166" s="175">
        <v>5</v>
      </c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</row>
    <row r="167" spans="1:39" ht="12.75" customHeight="1">
      <c r="A167" s="172"/>
      <c r="B167" s="172"/>
      <c r="C167" s="172"/>
      <c r="D167" s="178" t="s">
        <v>149</v>
      </c>
      <c r="E167" s="175">
        <v>3</v>
      </c>
      <c r="F167" s="175">
        <v>2</v>
      </c>
      <c r="G167" s="175">
        <v>4</v>
      </c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</row>
    <row r="168" spans="1:39" ht="12.75" customHeight="1">
      <c r="A168" s="172"/>
      <c r="B168" s="172"/>
      <c r="C168" s="172"/>
      <c r="D168" s="178" t="s">
        <v>209</v>
      </c>
      <c r="E168" s="175">
        <v>3</v>
      </c>
      <c r="F168" s="175">
        <v>2</v>
      </c>
      <c r="G168" s="175">
        <v>4</v>
      </c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</row>
    <row r="169" spans="1:39" ht="12.75" customHeight="1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</row>
    <row r="170" spans="1:39" ht="12.75" customHeight="1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</row>
    <row r="171" spans="1:39" ht="12.75" customHeight="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</row>
    <row r="172" spans="1:39" ht="12.75" customHeight="1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</row>
    <row r="173" spans="1:39" ht="12.75" customHeight="1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</row>
    <row r="174" spans="1:39" ht="12.75" customHeight="1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</row>
    <row r="175" spans="1:39" ht="12.75" customHeight="1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</row>
    <row r="176" spans="1:39" ht="12.75" customHeight="1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</row>
    <row r="177" spans="1:39" ht="12.75" customHeight="1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</row>
    <row r="178" spans="1:39" ht="12.75" customHeight="1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</row>
    <row r="179" spans="1:39" ht="12.75" customHeight="1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</row>
    <row r="180" spans="1:39" ht="12.75" customHeight="1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</row>
    <row r="181" spans="1:39" ht="12.75" customHeight="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</row>
    <row r="182" spans="1:39" ht="12.75" customHeight="1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</row>
    <row r="183" spans="1:39" ht="12.75" customHeight="1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</row>
    <row r="184" spans="1:39" ht="12.75" customHeight="1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</row>
    <row r="185" spans="1:39" ht="12.75" customHeight="1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</row>
    <row r="186" spans="1:39" ht="12.75" customHeight="1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</row>
    <row r="187" spans="1:39" ht="12.75" customHeight="1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</row>
    <row r="188" spans="1:39" ht="12.75" customHeight="1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</row>
    <row r="189" spans="1:39" ht="12.75" customHeight="1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</row>
    <row r="190" spans="1:39" ht="12.75" customHeight="1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</row>
    <row r="191" spans="1:39" ht="12.75" customHeight="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</row>
    <row r="192" spans="1:39" ht="12.75" customHeight="1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</row>
    <row r="193" spans="1:39" ht="12.75" customHeight="1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</row>
    <row r="194" spans="1:39" ht="12.75" customHeight="1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</row>
    <row r="195" spans="1:39" ht="12.75" customHeight="1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</row>
    <row r="196" spans="1:39" ht="12.75" customHeight="1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</row>
    <row r="197" spans="1:39" ht="12.75" customHeight="1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</row>
    <row r="198" spans="1:39" ht="12.75" customHeight="1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</row>
    <row r="199" spans="1:39" ht="12.75" customHeight="1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</row>
    <row r="200" spans="1:39" ht="12.75" customHeight="1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</row>
    <row r="201" spans="1:39" ht="12.75" customHeight="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</row>
    <row r="202" spans="1:39" ht="12.75" customHeight="1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</row>
    <row r="203" spans="1:39" ht="12.75" customHeight="1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</row>
    <row r="204" spans="1:39" ht="12.75" customHeight="1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</row>
    <row r="205" spans="1:39" ht="12.75" customHeight="1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</row>
    <row r="206" spans="1:39" ht="12.75" customHeight="1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</row>
    <row r="207" spans="1:39" ht="12.75" customHeight="1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</row>
    <row r="208" spans="1:39" ht="12.75" customHeight="1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</row>
    <row r="209" spans="1:39" ht="12.75" customHeight="1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</row>
    <row r="210" spans="1:39" ht="12.75" customHeight="1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</row>
    <row r="211" spans="1:39" ht="12.75" customHeight="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</row>
    <row r="212" spans="1:39" ht="12.75" customHeight="1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</row>
    <row r="213" spans="1:39" ht="12.75" customHeight="1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</row>
    <row r="214" spans="1:39" ht="12.75" customHeight="1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</row>
    <row r="215" spans="1:39" ht="12.75" customHeight="1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</row>
    <row r="216" spans="1:39" ht="12.75" customHeight="1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</row>
    <row r="217" spans="1:39" ht="12.75" customHeight="1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</row>
    <row r="218" spans="1:39" ht="12.75" customHeight="1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</row>
    <row r="219" spans="1:39" ht="12.75" customHeight="1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</row>
    <row r="220" spans="1:39" ht="12.75" customHeight="1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</row>
    <row r="221" spans="1:39" ht="12.75" customHeight="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</row>
    <row r="222" spans="1:39" ht="12.75" customHeight="1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</row>
    <row r="223" spans="1:39" ht="12.75" customHeight="1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</row>
    <row r="224" spans="1:39" ht="12.75" customHeight="1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</row>
    <row r="225" spans="1:39" ht="12.75" customHeight="1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</row>
    <row r="226" spans="1:39" ht="12.75" customHeight="1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</row>
    <row r="227" spans="1:39" ht="12.75" customHeight="1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</row>
    <row r="228" spans="1:39" ht="12.75" customHeight="1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</row>
    <row r="229" spans="1:39" ht="12.75" customHeight="1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</row>
    <row r="230" spans="1:39" ht="12.75" customHeight="1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</row>
    <row r="231" spans="1:39" ht="12.75" customHeight="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</row>
    <row r="232" spans="1:39" ht="12.75" customHeight="1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</row>
    <row r="233" spans="1:39" ht="12.75" customHeight="1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</row>
    <row r="234" spans="1:39" ht="12.75" customHeight="1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</row>
    <row r="235" spans="1:39" ht="12.75" customHeight="1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</row>
    <row r="236" spans="1:39" ht="12.75" customHeight="1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</row>
    <row r="237" spans="1:39" ht="12.75" customHeight="1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</row>
    <row r="238" spans="1:39" ht="12.75" customHeight="1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</row>
    <row r="239" spans="1:39" ht="12.75" customHeight="1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</row>
    <row r="240" spans="1:39" ht="12.75" customHeight="1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</row>
    <row r="241" spans="1:39" ht="12.75" customHeight="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</row>
    <row r="242" spans="1:39" ht="12.75" customHeight="1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</row>
    <row r="243" spans="1:39" ht="12.75" customHeight="1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</row>
    <row r="244" spans="1:39" ht="12.75" customHeight="1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</row>
    <row r="245" spans="1:39" ht="12.75" customHeight="1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</row>
    <row r="246" spans="1:39" ht="12.75" customHeight="1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</row>
    <row r="247" spans="1:39" ht="12.75" customHeight="1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</row>
    <row r="248" spans="1:39" ht="12.75" customHeight="1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</row>
    <row r="249" spans="1:39" ht="12.75" customHeight="1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</row>
    <row r="250" spans="1:39" ht="12.75" customHeight="1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</row>
    <row r="251" spans="1:39" ht="12.75" customHeight="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</row>
    <row r="252" spans="1:39" ht="12.75" customHeight="1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</row>
    <row r="253" spans="1:39" ht="12.75" customHeight="1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</row>
    <row r="254" spans="1:39" ht="12.75" customHeight="1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</row>
    <row r="255" spans="1:39" ht="12.75" customHeight="1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</row>
    <row r="256" spans="1:39" ht="12.75" customHeight="1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</row>
    <row r="257" spans="1:39" ht="12.75" customHeight="1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</row>
    <row r="258" spans="1:39" ht="12.75" customHeight="1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/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</row>
    <row r="259" spans="1:39" ht="12.75" customHeight="1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/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</row>
    <row r="260" spans="1:39" ht="12.75" customHeight="1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/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</row>
    <row r="261" spans="1:39" ht="12.75" customHeight="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/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</row>
    <row r="262" spans="1:39" ht="12.75" customHeight="1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</row>
    <row r="263" spans="1:39" ht="12.75" customHeight="1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/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</row>
    <row r="264" spans="1:39" ht="12.75" customHeight="1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/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</row>
    <row r="265" spans="1:39" ht="12.75" customHeight="1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</row>
    <row r="266" spans="1:39" ht="12.75" customHeight="1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/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</row>
    <row r="267" spans="1:39" ht="12.75" customHeight="1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/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</row>
    <row r="268" spans="1:39" ht="12.75" customHeight="1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/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</row>
    <row r="269" spans="1:39" ht="12.75" customHeight="1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/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</row>
    <row r="270" spans="1:39" ht="12.75" customHeight="1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/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</row>
    <row r="271" spans="1:39" ht="12.75" customHeight="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</row>
    <row r="272" spans="1:39" ht="12.75" customHeight="1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</row>
    <row r="273" spans="1:39" ht="12.75" customHeight="1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</row>
    <row r="274" spans="1:39" ht="12.75" customHeight="1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</row>
    <row r="275" spans="1:39" ht="12.75" customHeight="1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</row>
    <row r="276" spans="1:39" ht="12.75" customHeight="1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</row>
    <row r="277" spans="1:39" ht="12.75" customHeight="1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</row>
    <row r="278" spans="1:39" ht="12.75" customHeight="1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</row>
    <row r="279" spans="1:39" ht="12.75" customHeight="1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</row>
    <row r="280" spans="1:39" ht="12.75" customHeight="1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</row>
    <row r="281" spans="1:39" ht="12.75" customHeight="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</row>
    <row r="282" spans="1:39" ht="12.75" customHeight="1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</row>
    <row r="283" spans="1:39" ht="12.75" customHeight="1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</row>
    <row r="284" spans="1:39" ht="12.75" customHeight="1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</row>
    <row r="285" spans="1:39" ht="12.75" customHeight="1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</row>
    <row r="286" spans="1:39" ht="12.75" customHeight="1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</row>
    <row r="287" spans="1:39" ht="12.75" customHeight="1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</row>
    <row r="288" spans="1:39" ht="12.75" customHeight="1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</row>
    <row r="289" spans="1:39" ht="12.75" customHeight="1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</row>
    <row r="290" spans="1:39" ht="12.75" customHeight="1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</row>
    <row r="291" spans="1:39" ht="12.75" customHeight="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</row>
    <row r="292" spans="1:39" ht="12.75" customHeight="1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</row>
    <row r="293" spans="1:39" ht="12.75" customHeight="1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</row>
    <row r="294" spans="1:39" ht="12.75" customHeight="1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</row>
    <row r="295" spans="1:39" ht="12.75" customHeight="1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</row>
    <row r="296" spans="1:39" ht="12.75" customHeight="1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</row>
    <row r="297" spans="1:39" ht="12.75" customHeight="1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</row>
    <row r="298" spans="1:39" ht="12.75" customHeight="1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</row>
    <row r="299" spans="1:39" ht="12.75" customHeight="1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</row>
    <row r="300" spans="1:39" ht="12.75" customHeight="1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</row>
    <row r="301" spans="1:39" ht="12.75" customHeight="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</row>
    <row r="302" spans="1:39" ht="12.75" customHeight="1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</row>
    <row r="303" spans="1:39" ht="12.75" customHeight="1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</row>
    <row r="304" spans="1:39" ht="12.75" customHeight="1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</row>
    <row r="305" spans="1:39" ht="12.75" customHeight="1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</row>
    <row r="306" spans="1:39" ht="12.75" customHeight="1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</row>
    <row r="307" spans="1:39" ht="12.75" customHeight="1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</row>
    <row r="308" spans="1:39" ht="12.75" customHeight="1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</row>
    <row r="309" spans="1:39" ht="12.75" customHeight="1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</row>
    <row r="310" spans="1:39" ht="12.75" customHeight="1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</row>
    <row r="311" spans="1:39" ht="12.75" customHeight="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</row>
    <row r="312" spans="1:39" ht="12.75" customHeight="1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</row>
    <row r="313" spans="1:39" ht="12.75" customHeight="1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</row>
    <row r="314" spans="1:39" ht="12.75" customHeight="1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/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</row>
    <row r="315" spans="1:39" ht="12.75" customHeight="1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/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</row>
    <row r="316" spans="1:39" ht="12.75" customHeight="1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/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</row>
    <row r="317" spans="1:39" ht="12.75" customHeight="1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/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</row>
    <row r="318" spans="1:39" ht="12.75" customHeight="1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/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</row>
    <row r="319" spans="1:39" ht="12.75" customHeight="1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/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</row>
    <row r="320" spans="1:39" ht="12.75" customHeight="1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/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</row>
    <row r="321" spans="1:39" ht="12.75" customHeight="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/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</row>
    <row r="322" spans="1:39" ht="12.75" customHeight="1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/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</row>
    <row r="323" spans="1:39" ht="12.75" customHeight="1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</row>
    <row r="324" spans="1:39" ht="12.75" customHeight="1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</row>
    <row r="325" spans="1:39" ht="12.75" customHeight="1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/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</row>
    <row r="326" spans="1:39" ht="12.75" customHeight="1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/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</row>
    <row r="327" spans="1:39" ht="12.75" customHeight="1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/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</row>
    <row r="328" spans="1:39" ht="12.75" customHeight="1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/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</row>
    <row r="329" spans="1:39" ht="12.75" customHeight="1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/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</row>
    <row r="330" spans="1:39" ht="12.75" customHeight="1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/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</row>
    <row r="331" spans="1:39" ht="12.75" customHeight="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/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</row>
    <row r="332" spans="1:39" ht="12.75" customHeight="1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</row>
    <row r="333" spans="1:39" ht="12.75" customHeight="1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</row>
    <row r="334" spans="1:39" ht="12.75" customHeight="1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</row>
    <row r="335" spans="1:39" ht="12.75" customHeight="1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</row>
    <row r="336" spans="1:39" ht="12.75" customHeight="1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</row>
    <row r="337" spans="1:39" ht="12.75" customHeight="1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</row>
    <row r="338" spans="1:39" ht="12.75" customHeight="1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</row>
    <row r="339" spans="1:39" ht="12.75" customHeight="1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</row>
    <row r="340" spans="1:39" ht="12.75" customHeight="1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</row>
    <row r="341" spans="1:39" ht="12.75" customHeight="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/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</row>
    <row r="342" spans="1:39" ht="12.75" customHeight="1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/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</row>
    <row r="343" spans="1:39" ht="12.75" customHeight="1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/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</row>
    <row r="344" spans="1:39" ht="12.75" customHeight="1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/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</row>
    <row r="345" spans="1:39" ht="12.75" customHeight="1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/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</row>
    <row r="346" spans="1:39" ht="12.75" customHeight="1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</row>
    <row r="347" spans="1:39" ht="12.75" customHeight="1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</row>
    <row r="348" spans="1:39" ht="12.75" customHeight="1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</row>
    <row r="349" spans="1:39" ht="12.75" customHeight="1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</row>
    <row r="350" spans="1:39" ht="12.75" customHeight="1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</row>
    <row r="351" spans="1:39" ht="12.75" customHeight="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</row>
    <row r="352" spans="1:39" ht="12.75" customHeight="1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</row>
    <row r="353" spans="1:39" ht="12.75" customHeight="1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</row>
    <row r="354" spans="1:39" ht="12.75" customHeight="1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</row>
    <row r="355" spans="1:39" ht="12.75" customHeight="1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</row>
    <row r="356" spans="1:39" ht="12.75" customHeight="1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</row>
    <row r="357" spans="1:39" ht="12.75" customHeight="1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</row>
    <row r="358" spans="1:39" ht="12.75" customHeight="1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</row>
    <row r="359" spans="1:39" ht="12.75" customHeight="1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</row>
    <row r="360" spans="1:39" ht="12.75" customHeight="1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</row>
    <row r="361" spans="1:39" ht="12.75" customHeight="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</row>
    <row r="362" spans="1:39" ht="12.75" customHeight="1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</row>
    <row r="363" spans="1:39" ht="12.75" customHeight="1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</row>
    <row r="364" spans="1:39" ht="12.75" customHeight="1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</row>
    <row r="365" spans="1:39" ht="12.75" customHeight="1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</row>
    <row r="366" spans="1:39" ht="12.75" customHeight="1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</row>
    <row r="367" spans="1:39" ht="12.75" customHeight="1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</row>
    <row r="368" spans="1:39" ht="12.75" customHeight="1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</row>
    <row r="369" spans="1:39" ht="12.75" customHeight="1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</row>
    <row r="370" spans="1:39" ht="12.75" customHeight="1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</row>
    <row r="371" spans="1:39" ht="12.75" customHeight="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  <c r="AE371" s="172"/>
      <c r="AF371" s="172"/>
      <c r="AG371" s="172"/>
      <c r="AH371" s="172"/>
      <c r="AI371" s="172"/>
      <c r="AJ371" s="172"/>
      <c r="AK371" s="172"/>
      <c r="AL371" s="172"/>
      <c r="AM371" s="172"/>
    </row>
    <row r="372" spans="1:39" ht="12.75" customHeight="1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</row>
    <row r="373" spans="1:39" ht="12.75" customHeight="1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</row>
    <row r="374" spans="1:39" ht="12.75" customHeight="1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</row>
    <row r="375" spans="1:39" ht="12.75" customHeight="1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</row>
    <row r="376" spans="1:39" ht="12.75" customHeight="1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</row>
    <row r="377" spans="1:39" ht="12.75" customHeight="1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</row>
    <row r="378" spans="1:39" ht="12.75" customHeight="1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</row>
    <row r="379" spans="1:39" ht="12.75" customHeight="1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</row>
    <row r="380" spans="1:39" ht="12.75" customHeight="1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</row>
    <row r="381" spans="1:39" ht="12.75" customHeight="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</row>
    <row r="382" spans="1:39" ht="12.75" customHeight="1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</row>
    <row r="383" spans="1:39" ht="12.75" customHeight="1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</row>
    <row r="384" spans="1:39" ht="12.75" customHeight="1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</row>
    <row r="385" spans="1:39" ht="12.75" customHeight="1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</row>
    <row r="386" spans="1:39" ht="12.75" customHeight="1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</row>
    <row r="387" spans="1:39" ht="12.75" customHeight="1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</row>
    <row r="388" spans="1:39" ht="12.75" customHeight="1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</row>
    <row r="389" spans="1:39" ht="12.75" customHeight="1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</row>
    <row r="390" spans="1:39" ht="12.75" customHeight="1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</row>
    <row r="391" spans="1:39" ht="12.75" customHeight="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</row>
    <row r="392" spans="1:39" ht="12.75" customHeight="1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</row>
    <row r="393" spans="1:39" ht="12.75" customHeight="1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</row>
    <row r="394" spans="1:39" ht="12.75" customHeight="1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</row>
    <row r="395" spans="1:39" ht="12.75" customHeight="1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</row>
    <row r="396" spans="1:39" ht="12.75" customHeight="1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</row>
    <row r="397" spans="1:39" ht="12.75" customHeight="1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</row>
    <row r="398" spans="1:39" ht="12.75" customHeight="1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</row>
    <row r="399" spans="1:39" ht="12.75" customHeight="1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</row>
    <row r="400" spans="1:39" ht="12.75" customHeight="1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</row>
    <row r="401" spans="1:39" ht="12.75" customHeight="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</row>
    <row r="402" spans="1:39" ht="12.75" customHeight="1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</row>
    <row r="403" spans="1:39" ht="12.75" customHeight="1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</row>
    <row r="404" spans="1:39" ht="12.75" customHeight="1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</row>
    <row r="405" spans="1:39" ht="12.75" customHeight="1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</row>
    <row r="406" spans="1:39" ht="12.75" customHeight="1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</row>
    <row r="407" spans="1:39" ht="12.75" customHeight="1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</row>
    <row r="408" spans="1:39" ht="12.75" customHeight="1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</row>
    <row r="409" spans="1:39" ht="12.75" customHeight="1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</row>
    <row r="410" spans="1:39" ht="12.75" customHeight="1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</row>
    <row r="411" spans="1:39" ht="12.75" customHeight="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</row>
    <row r="412" spans="1:39" ht="12.75" customHeight="1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</row>
    <row r="413" spans="1:39" ht="12.75" customHeight="1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</row>
    <row r="414" spans="1:39" ht="12.75" customHeight="1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</row>
    <row r="415" spans="1:39" ht="12.75" customHeight="1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</row>
    <row r="416" spans="1:39" ht="12.75" customHeight="1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</row>
    <row r="417" spans="1:39" ht="12.75" customHeight="1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</row>
    <row r="418" spans="1:39" ht="12.75" customHeight="1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</row>
    <row r="419" spans="1:39" ht="12.75" customHeight="1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</row>
    <row r="420" spans="1:39" ht="12.75" customHeight="1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</row>
    <row r="421" spans="1:39" ht="12.75" customHeight="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</row>
    <row r="422" spans="1:39" ht="12.75" customHeight="1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</row>
    <row r="423" spans="1:39" ht="12.75" customHeight="1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</row>
    <row r="424" spans="1:39" ht="12.75" customHeight="1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</row>
    <row r="425" spans="1:39" ht="12.75" customHeight="1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</row>
    <row r="426" spans="1:39" ht="12.75" customHeight="1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</row>
    <row r="427" spans="1:39" ht="12.75" customHeight="1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</row>
    <row r="428" spans="1:39" ht="12.75" customHeight="1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</row>
    <row r="429" spans="1:39" ht="12.75" customHeight="1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</row>
    <row r="430" spans="1:39" ht="12.75" customHeight="1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</row>
    <row r="431" spans="1:39" ht="12.75" customHeight="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</row>
    <row r="432" spans="1:39" ht="12.75" customHeight="1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</row>
    <row r="433" spans="1:39" ht="12.75" customHeight="1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</row>
    <row r="434" spans="1:39" ht="12.75" customHeight="1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</row>
    <row r="435" spans="1:39" ht="12.75" customHeight="1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</row>
    <row r="436" spans="1:39" ht="12.75" customHeight="1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</row>
    <row r="437" spans="1:39" ht="12.75" customHeight="1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</row>
    <row r="438" spans="1:39" ht="12.75" customHeight="1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</row>
    <row r="439" spans="1:39" ht="12.75" customHeight="1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</row>
    <row r="440" spans="1:39" ht="12.75" customHeight="1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</row>
    <row r="441" spans="1:39" ht="12.75" customHeight="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</row>
    <row r="442" spans="1:39" ht="12.75" customHeight="1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</row>
    <row r="443" spans="1:39" ht="12.75" customHeight="1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</row>
    <row r="444" spans="1:39" ht="12.75" customHeight="1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</row>
    <row r="445" spans="1:39" ht="12.75" customHeight="1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</row>
    <row r="446" spans="1:39" ht="12.75" customHeight="1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</row>
    <row r="447" spans="1:39" ht="12.75" customHeight="1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</row>
    <row r="448" spans="1:39" ht="12.75" customHeight="1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</row>
    <row r="449" spans="1:39" ht="12.75" customHeight="1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</row>
    <row r="450" spans="1:39" ht="12.75" customHeight="1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</row>
    <row r="451" spans="1:39" ht="12.75" customHeight="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</row>
    <row r="452" spans="1:39" ht="12.75" customHeight="1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</row>
    <row r="453" spans="1:39" ht="12.75" customHeight="1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</row>
    <row r="454" spans="1:39" ht="12.75" customHeight="1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</row>
    <row r="455" spans="1:39" ht="12.75" customHeight="1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</row>
    <row r="456" spans="1:39" ht="12.75" customHeight="1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</row>
    <row r="457" spans="1:39" ht="12.75" customHeight="1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</row>
    <row r="458" spans="1:39" ht="12.75" customHeight="1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</row>
    <row r="459" spans="1:39" ht="12.75" customHeight="1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</row>
    <row r="460" spans="1:39" ht="12.75" customHeight="1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</row>
    <row r="461" spans="1:39" ht="12.75" customHeight="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</row>
    <row r="462" spans="1:39" ht="12.75" customHeight="1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</row>
    <row r="463" spans="1:39" ht="12.75" customHeight="1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</row>
    <row r="464" spans="1:39" ht="12.75" customHeight="1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</row>
    <row r="465" spans="1:39" ht="12.75" customHeight="1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</row>
    <row r="466" spans="1:39" ht="12.75" customHeight="1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</row>
    <row r="467" spans="1:39" ht="12.75" customHeight="1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</row>
    <row r="468" spans="1:39" ht="12.75" customHeight="1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</row>
    <row r="469" spans="1:39" ht="12.75" customHeight="1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</row>
    <row r="470" spans="1:39" ht="12.75" customHeight="1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</row>
    <row r="471" spans="1:39" ht="12.75" customHeight="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</row>
    <row r="472" spans="1:39" ht="12.75" customHeight="1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</row>
    <row r="473" spans="1:39" ht="12.75" customHeight="1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</row>
    <row r="474" spans="1:39" ht="12.75" customHeight="1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</row>
    <row r="475" spans="1:39" ht="12.75" customHeight="1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</row>
    <row r="476" spans="1:39" ht="12.75" customHeight="1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</row>
    <row r="477" spans="1:39" ht="12.75" customHeight="1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</row>
    <row r="478" spans="1:39" ht="12.75" customHeight="1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</row>
    <row r="479" spans="1:39" ht="12.75" customHeight="1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</row>
    <row r="480" spans="1:39" ht="12.75" customHeight="1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</row>
    <row r="481" spans="1:39" ht="12.75" customHeight="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</row>
    <row r="482" spans="1:39" ht="12.75" customHeight="1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</row>
    <row r="483" spans="1:39" ht="12.75" customHeight="1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</row>
    <row r="484" spans="1:39" ht="12.75" customHeight="1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</row>
    <row r="485" spans="1:39" ht="12.75" customHeight="1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</row>
    <row r="486" spans="1:39" ht="12.75" customHeight="1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</row>
    <row r="487" spans="1:39" ht="12.75" customHeight="1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</row>
    <row r="488" spans="1:39" ht="12.75" customHeight="1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</row>
    <row r="489" spans="1:39" ht="12.75" customHeight="1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</row>
    <row r="490" spans="1:39" ht="12.75" customHeight="1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</row>
    <row r="491" spans="1:39" ht="12.75" customHeight="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</row>
    <row r="492" spans="1:39" ht="12.75" customHeight="1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</row>
    <row r="493" spans="1:39" ht="12.75" customHeight="1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</row>
    <row r="494" spans="1:39" ht="12.75" customHeight="1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</row>
    <row r="495" spans="1:39" ht="12.75" customHeight="1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</row>
    <row r="496" spans="1:39" ht="12.75" customHeight="1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</row>
    <row r="497" spans="1:39" ht="12.75" customHeight="1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</row>
    <row r="498" spans="1:39" ht="12.75" customHeight="1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</row>
    <row r="499" spans="1:39" ht="12.75" customHeight="1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</row>
    <row r="500" spans="1:39" ht="12.75" customHeight="1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</row>
    <row r="501" spans="1:39" ht="12.75" customHeight="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</row>
    <row r="502" spans="1:39" ht="12.75" customHeight="1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</row>
    <row r="503" spans="1:39" ht="12.75" customHeight="1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  <c r="AE503" s="172"/>
      <c r="AF503" s="172"/>
      <c r="AG503" s="172"/>
      <c r="AH503" s="172"/>
      <c r="AI503" s="172"/>
      <c r="AJ503" s="172"/>
      <c r="AK503" s="172"/>
      <c r="AL503" s="172"/>
      <c r="AM503" s="172"/>
    </row>
    <row r="504" spans="1:39" ht="12.75" customHeight="1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  <c r="AE504" s="172"/>
      <c r="AF504" s="172"/>
      <c r="AG504" s="172"/>
      <c r="AH504" s="172"/>
      <c r="AI504" s="172"/>
      <c r="AJ504" s="172"/>
      <c r="AK504" s="172"/>
      <c r="AL504" s="172"/>
      <c r="AM504" s="172"/>
    </row>
    <row r="505" spans="1:39" ht="12.75" customHeight="1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  <c r="AE505" s="172"/>
      <c r="AF505" s="172"/>
      <c r="AG505" s="172"/>
      <c r="AH505" s="172"/>
      <c r="AI505" s="172"/>
      <c r="AJ505" s="172"/>
      <c r="AK505" s="172"/>
      <c r="AL505" s="172"/>
      <c r="AM505" s="172"/>
    </row>
    <row r="506" spans="1:39" ht="12.75" customHeight="1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  <c r="AE506" s="172"/>
      <c r="AF506" s="172"/>
      <c r="AG506" s="172"/>
      <c r="AH506" s="172"/>
      <c r="AI506" s="172"/>
      <c r="AJ506" s="172"/>
      <c r="AK506" s="172"/>
      <c r="AL506" s="172"/>
      <c r="AM506" s="172"/>
    </row>
    <row r="507" spans="1:39" ht="12.75" customHeight="1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  <c r="AE507" s="172"/>
      <c r="AF507" s="172"/>
      <c r="AG507" s="172"/>
      <c r="AH507" s="172"/>
      <c r="AI507" s="172"/>
      <c r="AJ507" s="172"/>
      <c r="AK507" s="172"/>
      <c r="AL507" s="172"/>
      <c r="AM507" s="172"/>
    </row>
    <row r="508" spans="1:39" ht="12.75" customHeight="1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172"/>
      <c r="AJ508" s="172"/>
      <c r="AK508" s="172"/>
      <c r="AL508" s="172"/>
      <c r="AM508" s="172"/>
    </row>
    <row r="509" spans="1:39" ht="12.75" customHeight="1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  <c r="AE509" s="172"/>
      <c r="AF509" s="172"/>
      <c r="AG509" s="172"/>
      <c r="AH509" s="172"/>
      <c r="AI509" s="172"/>
      <c r="AJ509" s="172"/>
      <c r="AK509" s="172"/>
      <c r="AL509" s="172"/>
      <c r="AM509" s="172"/>
    </row>
    <row r="510" spans="1:39" ht="12.75" customHeight="1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  <c r="AE510" s="172"/>
      <c r="AF510" s="172"/>
      <c r="AG510" s="172"/>
      <c r="AH510" s="172"/>
      <c r="AI510" s="172"/>
      <c r="AJ510" s="172"/>
      <c r="AK510" s="172"/>
      <c r="AL510" s="172"/>
      <c r="AM510" s="172"/>
    </row>
    <row r="511" spans="1:39" ht="12.75" customHeight="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  <c r="AE511" s="172"/>
      <c r="AF511" s="172"/>
      <c r="AG511" s="172"/>
      <c r="AH511" s="172"/>
      <c r="AI511" s="172"/>
      <c r="AJ511" s="172"/>
      <c r="AK511" s="172"/>
      <c r="AL511" s="172"/>
      <c r="AM511" s="172"/>
    </row>
    <row r="512" spans="1:39" ht="12.75" customHeight="1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2"/>
      <c r="AC512" s="172"/>
      <c r="AD512" s="172"/>
      <c r="AE512" s="172"/>
      <c r="AF512" s="172"/>
      <c r="AG512" s="172"/>
      <c r="AH512" s="172"/>
      <c r="AI512" s="172"/>
      <c r="AJ512" s="172"/>
      <c r="AK512" s="172"/>
      <c r="AL512" s="172"/>
      <c r="AM512" s="172"/>
    </row>
    <row r="513" spans="1:39" ht="12.75" customHeight="1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2"/>
      <c r="AC513" s="172"/>
      <c r="AD513" s="172"/>
      <c r="AE513" s="172"/>
      <c r="AF513" s="172"/>
      <c r="AG513" s="172"/>
      <c r="AH513" s="172"/>
      <c r="AI513" s="172"/>
      <c r="AJ513" s="172"/>
      <c r="AK513" s="172"/>
      <c r="AL513" s="172"/>
      <c r="AM513" s="172"/>
    </row>
    <row r="514" spans="1:39" ht="12.75" customHeight="1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2"/>
      <c r="AC514" s="172"/>
      <c r="AD514" s="172"/>
      <c r="AE514" s="172"/>
      <c r="AF514" s="172"/>
      <c r="AG514" s="172"/>
      <c r="AH514" s="172"/>
      <c r="AI514" s="172"/>
      <c r="AJ514" s="172"/>
      <c r="AK514" s="172"/>
      <c r="AL514" s="172"/>
      <c r="AM514" s="172"/>
    </row>
    <row r="515" spans="1:39" ht="12.75" customHeight="1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2"/>
      <c r="AC515" s="172"/>
      <c r="AD515" s="172"/>
      <c r="AE515" s="172"/>
      <c r="AF515" s="172"/>
      <c r="AG515" s="172"/>
      <c r="AH515" s="172"/>
      <c r="AI515" s="172"/>
      <c r="AJ515" s="172"/>
      <c r="AK515" s="172"/>
      <c r="AL515" s="172"/>
      <c r="AM515" s="172"/>
    </row>
    <row r="516" spans="1:39" ht="12.75" customHeight="1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  <c r="AE516" s="172"/>
      <c r="AF516" s="172"/>
      <c r="AG516" s="172"/>
      <c r="AH516" s="172"/>
      <c r="AI516" s="172"/>
      <c r="AJ516" s="172"/>
      <c r="AK516" s="172"/>
      <c r="AL516" s="172"/>
      <c r="AM516" s="172"/>
    </row>
    <row r="517" spans="1:39" ht="12.75" customHeight="1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  <c r="AE517" s="172"/>
      <c r="AF517" s="172"/>
      <c r="AG517" s="172"/>
      <c r="AH517" s="172"/>
      <c r="AI517" s="172"/>
      <c r="AJ517" s="172"/>
      <c r="AK517" s="172"/>
      <c r="AL517" s="172"/>
      <c r="AM517" s="172"/>
    </row>
    <row r="518" spans="1:39" ht="12.75" customHeight="1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  <c r="AE518" s="172"/>
      <c r="AF518" s="172"/>
      <c r="AG518" s="172"/>
      <c r="AH518" s="172"/>
      <c r="AI518" s="172"/>
      <c r="AJ518" s="172"/>
      <c r="AK518" s="172"/>
      <c r="AL518" s="172"/>
      <c r="AM518" s="172"/>
    </row>
    <row r="519" spans="1:39" ht="12.75" customHeight="1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2"/>
      <c r="AM519" s="172"/>
    </row>
    <row r="520" spans="1:39" ht="12.75" customHeight="1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  <c r="AE520" s="172"/>
      <c r="AF520" s="172"/>
      <c r="AG520" s="172"/>
      <c r="AH520" s="172"/>
      <c r="AI520" s="172"/>
      <c r="AJ520" s="172"/>
      <c r="AK520" s="172"/>
      <c r="AL520" s="172"/>
      <c r="AM520" s="172"/>
    </row>
    <row r="521" spans="1:39" ht="12.75" customHeight="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  <c r="AE521" s="172"/>
      <c r="AF521" s="172"/>
      <c r="AG521" s="172"/>
      <c r="AH521" s="172"/>
      <c r="AI521" s="172"/>
      <c r="AJ521" s="172"/>
      <c r="AK521" s="172"/>
      <c r="AL521" s="172"/>
      <c r="AM521" s="172"/>
    </row>
    <row r="522" spans="1:39" ht="12.75" customHeight="1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  <c r="AE522" s="172"/>
      <c r="AF522" s="172"/>
      <c r="AG522" s="172"/>
      <c r="AH522" s="172"/>
      <c r="AI522" s="172"/>
      <c r="AJ522" s="172"/>
      <c r="AK522" s="172"/>
      <c r="AL522" s="172"/>
      <c r="AM522" s="172"/>
    </row>
    <row r="523" spans="1:39" ht="12.75" customHeight="1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  <c r="AE523" s="172"/>
      <c r="AF523" s="172"/>
      <c r="AG523" s="172"/>
      <c r="AH523" s="172"/>
      <c r="AI523" s="172"/>
      <c r="AJ523" s="172"/>
      <c r="AK523" s="172"/>
      <c r="AL523" s="172"/>
      <c r="AM523" s="172"/>
    </row>
    <row r="524" spans="1:39" ht="12.75" customHeight="1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  <c r="AE524" s="172"/>
      <c r="AF524" s="172"/>
      <c r="AG524" s="172"/>
      <c r="AH524" s="172"/>
      <c r="AI524" s="172"/>
      <c r="AJ524" s="172"/>
      <c r="AK524" s="172"/>
      <c r="AL524" s="172"/>
      <c r="AM524" s="172"/>
    </row>
    <row r="525" spans="1:39" ht="12.75" customHeight="1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  <c r="AE525" s="172"/>
      <c r="AF525" s="172"/>
      <c r="AG525" s="172"/>
      <c r="AH525" s="172"/>
      <c r="AI525" s="172"/>
      <c r="AJ525" s="172"/>
      <c r="AK525" s="172"/>
      <c r="AL525" s="172"/>
      <c r="AM525" s="172"/>
    </row>
    <row r="526" spans="1:39" ht="12.75" customHeight="1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  <c r="AE526" s="172"/>
      <c r="AF526" s="172"/>
      <c r="AG526" s="172"/>
      <c r="AH526" s="172"/>
      <c r="AI526" s="172"/>
      <c r="AJ526" s="172"/>
      <c r="AK526" s="172"/>
      <c r="AL526" s="172"/>
      <c r="AM526" s="172"/>
    </row>
    <row r="527" spans="1:39" ht="12.75" customHeight="1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  <c r="AE527" s="172"/>
      <c r="AF527" s="172"/>
      <c r="AG527" s="172"/>
      <c r="AH527" s="172"/>
      <c r="AI527" s="172"/>
      <c r="AJ527" s="172"/>
      <c r="AK527" s="172"/>
      <c r="AL527" s="172"/>
      <c r="AM527" s="172"/>
    </row>
    <row r="528" spans="1:39" ht="12.75" customHeight="1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  <c r="AE528" s="172"/>
      <c r="AF528" s="172"/>
      <c r="AG528" s="172"/>
      <c r="AH528" s="172"/>
      <c r="AI528" s="172"/>
      <c r="AJ528" s="172"/>
      <c r="AK528" s="172"/>
      <c r="AL528" s="172"/>
      <c r="AM528" s="172"/>
    </row>
    <row r="529" spans="1:39" ht="12.75" customHeight="1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  <c r="AE529" s="172"/>
      <c r="AF529" s="172"/>
      <c r="AG529" s="172"/>
      <c r="AH529" s="172"/>
      <c r="AI529" s="172"/>
      <c r="AJ529" s="172"/>
      <c r="AK529" s="172"/>
      <c r="AL529" s="172"/>
      <c r="AM529" s="172"/>
    </row>
    <row r="530" spans="1:39" ht="12.75" customHeight="1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  <c r="AE530" s="172"/>
      <c r="AF530" s="172"/>
      <c r="AG530" s="172"/>
      <c r="AH530" s="172"/>
      <c r="AI530" s="172"/>
      <c r="AJ530" s="172"/>
      <c r="AK530" s="172"/>
      <c r="AL530" s="172"/>
      <c r="AM530" s="172"/>
    </row>
    <row r="531" spans="1:39" ht="12.75" customHeight="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  <c r="AE531" s="172"/>
      <c r="AF531" s="172"/>
      <c r="AG531" s="172"/>
      <c r="AH531" s="172"/>
      <c r="AI531" s="172"/>
      <c r="AJ531" s="172"/>
      <c r="AK531" s="172"/>
      <c r="AL531" s="172"/>
      <c r="AM531" s="172"/>
    </row>
    <row r="532" spans="1:39" ht="12.75" customHeight="1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  <c r="AE532" s="172"/>
      <c r="AF532" s="172"/>
      <c r="AG532" s="172"/>
      <c r="AH532" s="172"/>
      <c r="AI532" s="172"/>
      <c r="AJ532" s="172"/>
      <c r="AK532" s="172"/>
      <c r="AL532" s="172"/>
      <c r="AM532" s="172"/>
    </row>
    <row r="533" spans="1:39" ht="12.75" customHeight="1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  <c r="AE533" s="172"/>
      <c r="AF533" s="172"/>
      <c r="AG533" s="172"/>
      <c r="AH533" s="172"/>
      <c r="AI533" s="172"/>
      <c r="AJ533" s="172"/>
      <c r="AK533" s="172"/>
      <c r="AL533" s="172"/>
      <c r="AM533" s="172"/>
    </row>
    <row r="534" spans="1:39" ht="12.75" customHeight="1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2"/>
      <c r="AC534" s="172"/>
      <c r="AD534" s="172"/>
      <c r="AE534" s="172"/>
      <c r="AF534" s="172"/>
      <c r="AG534" s="172"/>
      <c r="AH534" s="172"/>
      <c r="AI534" s="172"/>
      <c r="AJ534" s="172"/>
      <c r="AK534" s="172"/>
      <c r="AL534" s="172"/>
      <c r="AM534" s="172"/>
    </row>
    <row r="535" spans="1:39" ht="12.75" customHeight="1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  <c r="AE535" s="172"/>
      <c r="AF535" s="172"/>
      <c r="AG535" s="172"/>
      <c r="AH535" s="172"/>
      <c r="AI535" s="172"/>
      <c r="AJ535" s="172"/>
      <c r="AK535" s="172"/>
      <c r="AL535" s="172"/>
      <c r="AM535" s="172"/>
    </row>
    <row r="536" spans="1:39" ht="12.75" customHeight="1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  <c r="AE536" s="172"/>
      <c r="AF536" s="172"/>
      <c r="AG536" s="172"/>
      <c r="AH536" s="172"/>
      <c r="AI536" s="172"/>
      <c r="AJ536" s="172"/>
      <c r="AK536" s="172"/>
      <c r="AL536" s="172"/>
      <c r="AM536" s="172"/>
    </row>
    <row r="537" spans="1:39" ht="12.75" customHeight="1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  <c r="AE537" s="172"/>
      <c r="AF537" s="172"/>
      <c r="AG537" s="172"/>
      <c r="AH537" s="172"/>
      <c r="AI537" s="172"/>
      <c r="AJ537" s="172"/>
      <c r="AK537" s="172"/>
      <c r="AL537" s="172"/>
      <c r="AM537" s="172"/>
    </row>
    <row r="538" spans="1:39" ht="12.75" customHeight="1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  <c r="AE538" s="172"/>
      <c r="AF538" s="172"/>
      <c r="AG538" s="172"/>
      <c r="AH538" s="172"/>
      <c r="AI538" s="172"/>
      <c r="AJ538" s="172"/>
      <c r="AK538" s="172"/>
      <c r="AL538" s="172"/>
      <c r="AM538" s="172"/>
    </row>
    <row r="539" spans="1:39" ht="12.75" customHeight="1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  <c r="AE539" s="172"/>
      <c r="AF539" s="172"/>
      <c r="AG539" s="172"/>
      <c r="AH539" s="172"/>
      <c r="AI539" s="172"/>
      <c r="AJ539" s="172"/>
      <c r="AK539" s="172"/>
      <c r="AL539" s="172"/>
      <c r="AM539" s="172"/>
    </row>
    <row r="540" spans="1:39" ht="12.75" customHeight="1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  <c r="AE540" s="172"/>
      <c r="AF540" s="172"/>
      <c r="AG540" s="172"/>
      <c r="AH540" s="172"/>
      <c r="AI540" s="172"/>
      <c r="AJ540" s="172"/>
      <c r="AK540" s="172"/>
      <c r="AL540" s="172"/>
      <c r="AM540" s="172"/>
    </row>
    <row r="541" spans="1:39" ht="12.75" customHeight="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  <c r="AE541" s="172"/>
      <c r="AF541" s="172"/>
      <c r="AG541" s="172"/>
      <c r="AH541" s="172"/>
      <c r="AI541" s="172"/>
      <c r="AJ541" s="172"/>
      <c r="AK541" s="172"/>
      <c r="AL541" s="172"/>
      <c r="AM541" s="172"/>
    </row>
    <row r="542" spans="1:39" ht="12.75" customHeight="1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2"/>
      <c r="AH542" s="172"/>
      <c r="AI542" s="172"/>
      <c r="AJ542" s="172"/>
      <c r="AK542" s="172"/>
      <c r="AL542" s="172"/>
      <c r="AM542" s="172"/>
    </row>
    <row r="543" spans="1:39" ht="12.75" customHeight="1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  <c r="AE543" s="172"/>
      <c r="AF543" s="172"/>
      <c r="AG543" s="172"/>
      <c r="AH543" s="172"/>
      <c r="AI543" s="172"/>
      <c r="AJ543" s="172"/>
      <c r="AK543" s="172"/>
      <c r="AL543" s="172"/>
      <c r="AM543" s="172"/>
    </row>
    <row r="544" spans="1:39" ht="12.75" customHeight="1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  <c r="AE544" s="172"/>
      <c r="AF544" s="172"/>
      <c r="AG544" s="172"/>
      <c r="AH544" s="172"/>
      <c r="AI544" s="172"/>
      <c r="AJ544" s="172"/>
      <c r="AK544" s="172"/>
      <c r="AL544" s="172"/>
      <c r="AM544" s="172"/>
    </row>
    <row r="545" spans="1:39" ht="12.75" customHeight="1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  <c r="AE545" s="172"/>
      <c r="AF545" s="172"/>
      <c r="AG545" s="172"/>
      <c r="AH545" s="172"/>
      <c r="AI545" s="172"/>
      <c r="AJ545" s="172"/>
      <c r="AK545" s="172"/>
      <c r="AL545" s="172"/>
      <c r="AM545" s="172"/>
    </row>
    <row r="546" spans="1:39" ht="12.75" customHeight="1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2"/>
      <c r="AM546" s="172"/>
    </row>
    <row r="547" spans="1:39" ht="12.75" customHeight="1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  <c r="AE547" s="172"/>
      <c r="AF547" s="172"/>
      <c r="AG547" s="172"/>
      <c r="AH547" s="172"/>
      <c r="AI547" s="172"/>
      <c r="AJ547" s="172"/>
      <c r="AK547" s="172"/>
      <c r="AL547" s="172"/>
      <c r="AM547" s="172"/>
    </row>
    <row r="548" spans="1:39" ht="12.75" customHeight="1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  <c r="AE548" s="172"/>
      <c r="AF548" s="172"/>
      <c r="AG548" s="172"/>
      <c r="AH548" s="172"/>
      <c r="AI548" s="172"/>
      <c r="AJ548" s="172"/>
      <c r="AK548" s="172"/>
      <c r="AL548" s="172"/>
      <c r="AM548" s="172"/>
    </row>
    <row r="549" spans="1:39" ht="12.75" customHeight="1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2"/>
      <c r="AC549" s="172"/>
      <c r="AD549" s="172"/>
      <c r="AE549" s="172"/>
      <c r="AF549" s="172"/>
      <c r="AG549" s="172"/>
      <c r="AH549" s="172"/>
      <c r="AI549" s="172"/>
      <c r="AJ549" s="172"/>
      <c r="AK549" s="172"/>
      <c r="AL549" s="172"/>
      <c r="AM549" s="172"/>
    </row>
    <row r="550" spans="1:39" ht="12.75" customHeight="1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2"/>
      <c r="AC550" s="172"/>
      <c r="AD550" s="172"/>
      <c r="AE550" s="172"/>
      <c r="AF550" s="172"/>
      <c r="AG550" s="172"/>
      <c r="AH550" s="172"/>
      <c r="AI550" s="172"/>
      <c r="AJ550" s="172"/>
      <c r="AK550" s="172"/>
      <c r="AL550" s="172"/>
      <c r="AM550" s="172"/>
    </row>
    <row r="551" spans="1:39" ht="12.75" customHeight="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  <c r="AE551" s="172"/>
      <c r="AF551" s="172"/>
      <c r="AG551" s="172"/>
      <c r="AH551" s="172"/>
      <c r="AI551" s="172"/>
      <c r="AJ551" s="172"/>
      <c r="AK551" s="172"/>
      <c r="AL551" s="172"/>
      <c r="AM551" s="172"/>
    </row>
    <row r="552" spans="1:39" ht="12.75" customHeight="1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  <c r="AE552" s="172"/>
      <c r="AF552" s="172"/>
      <c r="AG552" s="172"/>
      <c r="AH552" s="172"/>
      <c r="AI552" s="172"/>
      <c r="AJ552" s="172"/>
      <c r="AK552" s="172"/>
      <c r="AL552" s="172"/>
      <c r="AM552" s="172"/>
    </row>
    <row r="553" spans="1:39" ht="12.75" customHeight="1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  <c r="AE553" s="172"/>
      <c r="AF553" s="172"/>
      <c r="AG553" s="172"/>
      <c r="AH553" s="172"/>
      <c r="AI553" s="172"/>
      <c r="AJ553" s="172"/>
      <c r="AK553" s="172"/>
      <c r="AL553" s="172"/>
      <c r="AM553" s="172"/>
    </row>
    <row r="554" spans="1:39" ht="12.75" customHeight="1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2"/>
      <c r="AC554" s="172"/>
      <c r="AD554" s="172"/>
      <c r="AE554" s="172"/>
      <c r="AF554" s="172"/>
      <c r="AG554" s="172"/>
      <c r="AH554" s="172"/>
      <c r="AI554" s="172"/>
      <c r="AJ554" s="172"/>
      <c r="AK554" s="172"/>
      <c r="AL554" s="172"/>
      <c r="AM554" s="172"/>
    </row>
    <row r="555" spans="1:39" ht="12.75" customHeight="1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  <c r="AA555" s="172"/>
      <c r="AB555" s="172"/>
      <c r="AC555" s="172"/>
      <c r="AD555" s="172"/>
      <c r="AE555" s="172"/>
      <c r="AF555" s="172"/>
      <c r="AG555" s="172"/>
      <c r="AH555" s="172"/>
      <c r="AI555" s="172"/>
      <c r="AJ555" s="172"/>
      <c r="AK555" s="172"/>
      <c r="AL555" s="172"/>
      <c r="AM555" s="172"/>
    </row>
    <row r="556" spans="1:39" ht="12.75" customHeight="1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/>
      <c r="AB556" s="172"/>
      <c r="AC556" s="172"/>
      <c r="AD556" s="172"/>
      <c r="AE556" s="172"/>
      <c r="AF556" s="172"/>
      <c r="AG556" s="172"/>
      <c r="AH556" s="172"/>
      <c r="AI556" s="172"/>
      <c r="AJ556" s="172"/>
      <c r="AK556" s="172"/>
      <c r="AL556" s="172"/>
      <c r="AM556" s="172"/>
    </row>
    <row r="557" spans="1:39" ht="12.75" customHeight="1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  <c r="AE557" s="172"/>
      <c r="AF557" s="172"/>
      <c r="AG557" s="172"/>
      <c r="AH557" s="172"/>
      <c r="AI557" s="172"/>
      <c r="AJ557" s="172"/>
      <c r="AK557" s="172"/>
      <c r="AL557" s="172"/>
      <c r="AM557" s="172"/>
    </row>
    <row r="558" spans="1:39" ht="12.75" customHeight="1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2"/>
      <c r="AC558" s="172"/>
      <c r="AD558" s="172"/>
      <c r="AE558" s="172"/>
      <c r="AF558" s="172"/>
      <c r="AG558" s="172"/>
      <c r="AH558" s="172"/>
      <c r="AI558" s="172"/>
      <c r="AJ558" s="172"/>
      <c r="AK558" s="172"/>
      <c r="AL558" s="172"/>
      <c r="AM558" s="172"/>
    </row>
    <row r="559" spans="1:39" ht="12.75" customHeight="1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2"/>
      <c r="AC559" s="172"/>
      <c r="AD559" s="172"/>
      <c r="AE559" s="172"/>
      <c r="AF559" s="172"/>
      <c r="AG559" s="172"/>
      <c r="AH559" s="172"/>
      <c r="AI559" s="172"/>
      <c r="AJ559" s="172"/>
      <c r="AK559" s="172"/>
      <c r="AL559" s="172"/>
      <c r="AM559" s="172"/>
    </row>
    <row r="560" spans="1:39" ht="12.75" customHeight="1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2"/>
      <c r="AC560" s="172"/>
      <c r="AD560" s="172"/>
      <c r="AE560" s="172"/>
      <c r="AF560" s="172"/>
      <c r="AG560" s="172"/>
      <c r="AH560" s="172"/>
      <c r="AI560" s="172"/>
      <c r="AJ560" s="172"/>
      <c r="AK560" s="172"/>
      <c r="AL560" s="172"/>
      <c r="AM560" s="172"/>
    </row>
    <row r="561" spans="1:39" ht="12.75" customHeight="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  <c r="AE561" s="172"/>
      <c r="AF561" s="172"/>
      <c r="AG561" s="172"/>
      <c r="AH561" s="172"/>
      <c r="AI561" s="172"/>
      <c r="AJ561" s="172"/>
      <c r="AK561" s="172"/>
      <c r="AL561" s="172"/>
      <c r="AM561" s="172"/>
    </row>
    <row r="562" spans="1:39" ht="12.75" customHeight="1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  <c r="AE562" s="172"/>
      <c r="AF562" s="172"/>
      <c r="AG562" s="172"/>
      <c r="AH562" s="172"/>
      <c r="AI562" s="172"/>
      <c r="AJ562" s="172"/>
      <c r="AK562" s="172"/>
      <c r="AL562" s="172"/>
      <c r="AM562" s="172"/>
    </row>
    <row r="563" spans="1:39" ht="12.75" customHeight="1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  <c r="AE563" s="172"/>
      <c r="AF563" s="172"/>
      <c r="AG563" s="172"/>
      <c r="AH563" s="172"/>
      <c r="AI563" s="172"/>
      <c r="AJ563" s="172"/>
      <c r="AK563" s="172"/>
      <c r="AL563" s="172"/>
      <c r="AM563" s="172"/>
    </row>
    <row r="564" spans="1:39" ht="12.75" customHeight="1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  <c r="AE564" s="172"/>
      <c r="AF564" s="172"/>
      <c r="AG564" s="172"/>
      <c r="AH564" s="172"/>
      <c r="AI564" s="172"/>
      <c r="AJ564" s="172"/>
      <c r="AK564" s="172"/>
      <c r="AL564" s="172"/>
      <c r="AM564" s="172"/>
    </row>
    <row r="565" spans="1:39" ht="12.75" customHeight="1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  <c r="AE565" s="172"/>
      <c r="AF565" s="172"/>
      <c r="AG565" s="172"/>
      <c r="AH565" s="172"/>
      <c r="AI565" s="172"/>
      <c r="AJ565" s="172"/>
      <c r="AK565" s="172"/>
      <c r="AL565" s="172"/>
      <c r="AM565" s="172"/>
    </row>
    <row r="566" spans="1:39" ht="12.75" customHeight="1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  <c r="AE566" s="172"/>
      <c r="AF566" s="172"/>
      <c r="AG566" s="172"/>
      <c r="AH566" s="172"/>
      <c r="AI566" s="172"/>
      <c r="AJ566" s="172"/>
      <c r="AK566" s="172"/>
      <c r="AL566" s="172"/>
      <c r="AM566" s="172"/>
    </row>
    <row r="567" spans="1:39" ht="12.75" customHeight="1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  <c r="AE567" s="172"/>
      <c r="AF567" s="172"/>
      <c r="AG567" s="172"/>
      <c r="AH567" s="172"/>
      <c r="AI567" s="172"/>
      <c r="AJ567" s="172"/>
      <c r="AK567" s="172"/>
      <c r="AL567" s="172"/>
      <c r="AM567" s="172"/>
    </row>
    <row r="568" spans="1:39" ht="12.75" customHeight="1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  <c r="AE568" s="172"/>
      <c r="AF568" s="172"/>
      <c r="AG568" s="172"/>
      <c r="AH568" s="172"/>
      <c r="AI568" s="172"/>
      <c r="AJ568" s="172"/>
      <c r="AK568" s="172"/>
      <c r="AL568" s="172"/>
      <c r="AM568" s="172"/>
    </row>
    <row r="569" spans="1:39" ht="12.75" customHeight="1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  <c r="AE569" s="172"/>
      <c r="AF569" s="172"/>
      <c r="AG569" s="172"/>
      <c r="AH569" s="172"/>
      <c r="AI569" s="172"/>
      <c r="AJ569" s="172"/>
      <c r="AK569" s="172"/>
      <c r="AL569" s="172"/>
      <c r="AM569" s="172"/>
    </row>
    <row r="570" spans="1:39" ht="12.75" customHeight="1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  <c r="AE570" s="172"/>
      <c r="AF570" s="172"/>
      <c r="AG570" s="172"/>
      <c r="AH570" s="172"/>
      <c r="AI570" s="172"/>
      <c r="AJ570" s="172"/>
      <c r="AK570" s="172"/>
      <c r="AL570" s="172"/>
      <c r="AM570" s="172"/>
    </row>
    <row r="571" spans="1:39" ht="12.75" customHeight="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  <c r="AE571" s="172"/>
      <c r="AF571" s="172"/>
      <c r="AG571" s="172"/>
      <c r="AH571" s="172"/>
      <c r="AI571" s="172"/>
      <c r="AJ571" s="172"/>
      <c r="AK571" s="172"/>
      <c r="AL571" s="172"/>
      <c r="AM571" s="172"/>
    </row>
    <row r="572" spans="1:39" ht="12.75" customHeight="1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  <c r="AE572" s="172"/>
      <c r="AF572" s="172"/>
      <c r="AG572" s="172"/>
      <c r="AH572" s="172"/>
      <c r="AI572" s="172"/>
      <c r="AJ572" s="172"/>
      <c r="AK572" s="172"/>
      <c r="AL572" s="172"/>
      <c r="AM572" s="172"/>
    </row>
    <row r="573" spans="1:39" ht="12.75" customHeight="1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  <c r="AE573" s="172"/>
      <c r="AF573" s="172"/>
      <c r="AG573" s="172"/>
      <c r="AH573" s="172"/>
      <c r="AI573" s="172"/>
      <c r="AJ573" s="172"/>
      <c r="AK573" s="172"/>
      <c r="AL573" s="172"/>
      <c r="AM573" s="172"/>
    </row>
    <row r="574" spans="1:39" ht="12.75" customHeight="1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  <c r="AE574" s="172"/>
      <c r="AF574" s="172"/>
      <c r="AG574" s="172"/>
      <c r="AH574" s="172"/>
      <c r="AI574" s="172"/>
      <c r="AJ574" s="172"/>
      <c r="AK574" s="172"/>
      <c r="AL574" s="172"/>
      <c r="AM574" s="172"/>
    </row>
    <row r="575" spans="1:39" ht="12.75" customHeight="1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  <c r="AE575" s="172"/>
      <c r="AF575" s="172"/>
      <c r="AG575" s="172"/>
      <c r="AH575" s="172"/>
      <c r="AI575" s="172"/>
      <c r="AJ575" s="172"/>
      <c r="AK575" s="172"/>
      <c r="AL575" s="172"/>
      <c r="AM575" s="172"/>
    </row>
    <row r="576" spans="1:39" ht="12.75" customHeight="1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  <c r="AE576" s="172"/>
      <c r="AF576" s="172"/>
      <c r="AG576" s="172"/>
      <c r="AH576" s="172"/>
      <c r="AI576" s="172"/>
      <c r="AJ576" s="172"/>
      <c r="AK576" s="172"/>
      <c r="AL576" s="172"/>
      <c r="AM576" s="172"/>
    </row>
    <row r="577" spans="1:39" ht="12.75" customHeight="1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  <c r="AE577" s="172"/>
      <c r="AF577" s="172"/>
      <c r="AG577" s="172"/>
      <c r="AH577" s="172"/>
      <c r="AI577" s="172"/>
      <c r="AJ577" s="172"/>
      <c r="AK577" s="172"/>
      <c r="AL577" s="172"/>
      <c r="AM577" s="172"/>
    </row>
    <row r="578" spans="1:39" ht="12.75" customHeight="1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  <c r="AE578" s="172"/>
      <c r="AF578" s="172"/>
      <c r="AG578" s="172"/>
      <c r="AH578" s="172"/>
      <c r="AI578" s="172"/>
      <c r="AJ578" s="172"/>
      <c r="AK578" s="172"/>
      <c r="AL578" s="172"/>
      <c r="AM578" s="172"/>
    </row>
    <row r="579" spans="1:39" ht="12.75" customHeight="1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  <c r="AE579" s="172"/>
      <c r="AF579" s="172"/>
      <c r="AG579" s="172"/>
      <c r="AH579" s="172"/>
      <c r="AI579" s="172"/>
      <c r="AJ579" s="172"/>
      <c r="AK579" s="172"/>
      <c r="AL579" s="172"/>
      <c r="AM579" s="172"/>
    </row>
    <row r="580" spans="1:39" ht="12.75" customHeight="1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  <c r="AE580" s="172"/>
      <c r="AF580" s="172"/>
      <c r="AG580" s="172"/>
      <c r="AH580" s="172"/>
      <c r="AI580" s="172"/>
      <c r="AJ580" s="172"/>
      <c r="AK580" s="172"/>
      <c r="AL580" s="172"/>
      <c r="AM580" s="172"/>
    </row>
    <row r="581" spans="1:39" ht="12.75" customHeight="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  <c r="AE581" s="172"/>
      <c r="AF581" s="172"/>
      <c r="AG581" s="172"/>
      <c r="AH581" s="172"/>
      <c r="AI581" s="172"/>
      <c r="AJ581" s="172"/>
      <c r="AK581" s="172"/>
      <c r="AL581" s="172"/>
      <c r="AM581" s="172"/>
    </row>
    <row r="582" spans="1:39" ht="12.75" customHeight="1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</row>
    <row r="583" spans="1:39" ht="12.75" customHeight="1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</row>
    <row r="584" spans="1:39" ht="12.75" customHeight="1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</row>
    <row r="585" spans="1:39" ht="12.75" customHeight="1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  <c r="AE585" s="172"/>
      <c r="AF585" s="172"/>
      <c r="AG585" s="172"/>
      <c r="AH585" s="172"/>
      <c r="AI585" s="172"/>
      <c r="AJ585" s="172"/>
      <c r="AK585" s="172"/>
      <c r="AL585" s="172"/>
      <c r="AM585" s="172"/>
    </row>
    <row r="586" spans="1:39" ht="12.75" customHeight="1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  <c r="AE586" s="172"/>
      <c r="AF586" s="172"/>
      <c r="AG586" s="172"/>
      <c r="AH586" s="172"/>
      <c r="AI586" s="172"/>
      <c r="AJ586" s="172"/>
      <c r="AK586" s="172"/>
      <c r="AL586" s="172"/>
      <c r="AM586" s="172"/>
    </row>
    <row r="587" spans="1:39" ht="12.75" customHeight="1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  <c r="AE587" s="172"/>
      <c r="AF587" s="172"/>
      <c r="AG587" s="172"/>
      <c r="AH587" s="172"/>
      <c r="AI587" s="172"/>
      <c r="AJ587" s="172"/>
      <c r="AK587" s="172"/>
      <c r="AL587" s="172"/>
      <c r="AM587" s="172"/>
    </row>
    <row r="588" spans="1:39" ht="12.75" customHeight="1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  <c r="AE588" s="172"/>
      <c r="AF588" s="172"/>
      <c r="AG588" s="172"/>
      <c r="AH588" s="172"/>
      <c r="AI588" s="172"/>
      <c r="AJ588" s="172"/>
      <c r="AK588" s="172"/>
      <c r="AL588" s="172"/>
      <c r="AM588" s="172"/>
    </row>
    <row r="589" spans="1:39" ht="12.75" customHeight="1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  <c r="AE589" s="172"/>
      <c r="AF589" s="172"/>
      <c r="AG589" s="172"/>
      <c r="AH589" s="172"/>
      <c r="AI589" s="172"/>
      <c r="AJ589" s="172"/>
      <c r="AK589" s="172"/>
      <c r="AL589" s="172"/>
      <c r="AM589" s="172"/>
    </row>
    <row r="590" spans="1:39" ht="12.75" customHeight="1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  <c r="AE590" s="172"/>
      <c r="AF590" s="172"/>
      <c r="AG590" s="172"/>
      <c r="AH590" s="172"/>
      <c r="AI590" s="172"/>
      <c r="AJ590" s="172"/>
      <c r="AK590" s="172"/>
      <c r="AL590" s="172"/>
      <c r="AM590" s="172"/>
    </row>
    <row r="591" spans="1:39" ht="12.75" customHeight="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  <c r="AE591" s="172"/>
      <c r="AF591" s="172"/>
      <c r="AG591" s="172"/>
      <c r="AH591" s="172"/>
      <c r="AI591" s="172"/>
      <c r="AJ591" s="172"/>
      <c r="AK591" s="172"/>
      <c r="AL591" s="172"/>
      <c r="AM591" s="172"/>
    </row>
    <row r="592" spans="1:39" ht="12.75" customHeight="1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72"/>
      <c r="AK592" s="172"/>
      <c r="AL592" s="172"/>
      <c r="AM592" s="172"/>
    </row>
    <row r="593" spans="1:39" ht="12.75" customHeight="1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  <c r="AE593" s="172"/>
      <c r="AF593" s="172"/>
      <c r="AG593" s="172"/>
      <c r="AH593" s="172"/>
      <c r="AI593" s="172"/>
      <c r="AJ593" s="172"/>
      <c r="AK593" s="172"/>
      <c r="AL593" s="172"/>
      <c r="AM593" s="172"/>
    </row>
    <row r="594" spans="1:39" ht="12.75" customHeight="1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  <c r="AE594" s="172"/>
      <c r="AF594" s="172"/>
      <c r="AG594" s="172"/>
      <c r="AH594" s="172"/>
      <c r="AI594" s="172"/>
      <c r="AJ594" s="172"/>
      <c r="AK594" s="172"/>
      <c r="AL594" s="172"/>
      <c r="AM594" s="172"/>
    </row>
    <row r="595" spans="1:39" ht="12.75" customHeight="1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172"/>
      <c r="AD595" s="172"/>
      <c r="AE595" s="172"/>
      <c r="AF595" s="172"/>
      <c r="AG595" s="172"/>
      <c r="AH595" s="172"/>
      <c r="AI595" s="172"/>
      <c r="AJ595" s="172"/>
      <c r="AK595" s="172"/>
      <c r="AL595" s="172"/>
      <c r="AM595" s="172"/>
    </row>
    <row r="596" spans="1:39" ht="12.75" customHeight="1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  <c r="AE596" s="172"/>
      <c r="AF596" s="172"/>
      <c r="AG596" s="172"/>
      <c r="AH596" s="172"/>
      <c r="AI596" s="172"/>
      <c r="AJ596" s="172"/>
      <c r="AK596" s="172"/>
      <c r="AL596" s="172"/>
      <c r="AM596" s="172"/>
    </row>
    <row r="597" spans="1:39" ht="12.75" customHeight="1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  <c r="AE597" s="172"/>
      <c r="AF597" s="172"/>
      <c r="AG597" s="172"/>
      <c r="AH597" s="172"/>
      <c r="AI597" s="172"/>
      <c r="AJ597" s="172"/>
      <c r="AK597" s="172"/>
      <c r="AL597" s="172"/>
      <c r="AM597" s="172"/>
    </row>
    <row r="598" spans="1:39" ht="12.75" customHeight="1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  <c r="AE598" s="172"/>
      <c r="AF598" s="172"/>
      <c r="AG598" s="172"/>
      <c r="AH598" s="172"/>
      <c r="AI598" s="172"/>
      <c r="AJ598" s="172"/>
      <c r="AK598" s="172"/>
      <c r="AL598" s="172"/>
      <c r="AM598" s="172"/>
    </row>
    <row r="599" spans="1:39" ht="12.75" customHeight="1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  <c r="AE599" s="172"/>
      <c r="AF599" s="172"/>
      <c r="AG599" s="172"/>
      <c r="AH599" s="172"/>
      <c r="AI599" s="172"/>
      <c r="AJ599" s="172"/>
      <c r="AK599" s="172"/>
      <c r="AL599" s="172"/>
      <c r="AM599" s="172"/>
    </row>
    <row r="600" spans="1:39" ht="12.75" customHeight="1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  <c r="AE600" s="172"/>
      <c r="AF600" s="172"/>
      <c r="AG600" s="172"/>
      <c r="AH600" s="172"/>
      <c r="AI600" s="172"/>
      <c r="AJ600" s="172"/>
      <c r="AK600" s="172"/>
      <c r="AL600" s="172"/>
      <c r="AM600" s="172"/>
    </row>
    <row r="601" spans="1:39" ht="12.75" customHeight="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  <c r="AE601" s="172"/>
      <c r="AF601" s="172"/>
      <c r="AG601" s="172"/>
      <c r="AH601" s="172"/>
      <c r="AI601" s="172"/>
      <c r="AJ601" s="172"/>
      <c r="AK601" s="172"/>
      <c r="AL601" s="172"/>
      <c r="AM601" s="172"/>
    </row>
    <row r="602" spans="1:39" ht="12.75" customHeight="1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  <c r="AE602" s="172"/>
      <c r="AF602" s="172"/>
      <c r="AG602" s="172"/>
      <c r="AH602" s="172"/>
      <c r="AI602" s="172"/>
      <c r="AJ602" s="172"/>
      <c r="AK602" s="172"/>
      <c r="AL602" s="172"/>
      <c r="AM602" s="172"/>
    </row>
    <row r="603" spans="1:39" ht="12.75" customHeight="1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  <c r="AE603" s="172"/>
      <c r="AF603" s="172"/>
      <c r="AG603" s="172"/>
      <c r="AH603" s="172"/>
      <c r="AI603" s="172"/>
      <c r="AJ603" s="172"/>
      <c r="AK603" s="172"/>
      <c r="AL603" s="172"/>
      <c r="AM603" s="172"/>
    </row>
    <row r="604" spans="1:39" ht="12.75" customHeight="1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  <c r="AE604" s="172"/>
      <c r="AF604" s="172"/>
      <c r="AG604" s="172"/>
      <c r="AH604" s="172"/>
      <c r="AI604" s="172"/>
      <c r="AJ604" s="172"/>
      <c r="AK604" s="172"/>
      <c r="AL604" s="172"/>
      <c r="AM604" s="172"/>
    </row>
    <row r="605" spans="1:39" ht="12.75" customHeight="1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  <c r="AE605" s="172"/>
      <c r="AF605" s="172"/>
      <c r="AG605" s="172"/>
      <c r="AH605" s="172"/>
      <c r="AI605" s="172"/>
      <c r="AJ605" s="172"/>
      <c r="AK605" s="172"/>
      <c r="AL605" s="172"/>
      <c r="AM605" s="172"/>
    </row>
    <row r="606" spans="1:39" ht="12.75" customHeight="1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  <c r="AE606" s="172"/>
      <c r="AF606" s="172"/>
      <c r="AG606" s="172"/>
      <c r="AH606" s="172"/>
      <c r="AI606" s="172"/>
      <c r="AJ606" s="172"/>
      <c r="AK606" s="172"/>
      <c r="AL606" s="172"/>
      <c r="AM606" s="172"/>
    </row>
    <row r="607" spans="1:39" ht="12.75" customHeight="1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  <c r="AE607" s="172"/>
      <c r="AF607" s="172"/>
      <c r="AG607" s="172"/>
      <c r="AH607" s="172"/>
      <c r="AI607" s="172"/>
      <c r="AJ607" s="172"/>
      <c r="AK607" s="172"/>
      <c r="AL607" s="172"/>
      <c r="AM607" s="172"/>
    </row>
    <row r="608" spans="1:39" ht="12.75" customHeight="1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  <c r="AE608" s="172"/>
      <c r="AF608" s="172"/>
      <c r="AG608" s="172"/>
      <c r="AH608" s="172"/>
      <c r="AI608" s="172"/>
      <c r="AJ608" s="172"/>
      <c r="AK608" s="172"/>
      <c r="AL608" s="172"/>
      <c r="AM608" s="172"/>
    </row>
    <row r="609" spans="1:39" ht="12.75" customHeight="1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  <c r="AE609" s="172"/>
      <c r="AF609" s="172"/>
      <c r="AG609" s="172"/>
      <c r="AH609" s="172"/>
      <c r="AI609" s="172"/>
      <c r="AJ609" s="172"/>
      <c r="AK609" s="172"/>
      <c r="AL609" s="172"/>
      <c r="AM609" s="172"/>
    </row>
    <row r="610" spans="1:39" ht="12.75" customHeight="1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  <c r="AE610" s="172"/>
      <c r="AF610" s="172"/>
      <c r="AG610" s="172"/>
      <c r="AH610" s="172"/>
      <c r="AI610" s="172"/>
      <c r="AJ610" s="172"/>
      <c r="AK610" s="172"/>
      <c r="AL610" s="172"/>
      <c r="AM610" s="172"/>
    </row>
    <row r="611" spans="1:39" ht="12.75" customHeight="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  <c r="AE611" s="172"/>
      <c r="AF611" s="172"/>
      <c r="AG611" s="172"/>
      <c r="AH611" s="172"/>
      <c r="AI611" s="172"/>
      <c r="AJ611" s="172"/>
      <c r="AK611" s="172"/>
      <c r="AL611" s="172"/>
      <c r="AM611" s="172"/>
    </row>
    <row r="612" spans="1:39" ht="12.75" customHeight="1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  <c r="AE612" s="172"/>
      <c r="AF612" s="172"/>
      <c r="AG612" s="172"/>
      <c r="AH612" s="172"/>
      <c r="AI612" s="172"/>
      <c r="AJ612" s="172"/>
      <c r="AK612" s="172"/>
      <c r="AL612" s="172"/>
      <c r="AM612" s="172"/>
    </row>
    <row r="613" spans="1:39" ht="12.75" customHeight="1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  <c r="AE613" s="172"/>
      <c r="AF613" s="172"/>
      <c r="AG613" s="172"/>
      <c r="AH613" s="172"/>
      <c r="AI613" s="172"/>
      <c r="AJ613" s="172"/>
      <c r="AK613" s="172"/>
      <c r="AL613" s="172"/>
      <c r="AM613" s="172"/>
    </row>
    <row r="614" spans="1:39" ht="12.75" customHeight="1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  <c r="AE614" s="172"/>
      <c r="AF614" s="172"/>
      <c r="AG614" s="172"/>
      <c r="AH614" s="172"/>
      <c r="AI614" s="172"/>
      <c r="AJ614" s="172"/>
      <c r="AK614" s="172"/>
      <c r="AL614" s="172"/>
      <c r="AM614" s="172"/>
    </row>
    <row r="615" spans="1:39" ht="12.75" customHeight="1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  <c r="AE615" s="172"/>
      <c r="AF615" s="172"/>
      <c r="AG615" s="172"/>
      <c r="AH615" s="172"/>
      <c r="AI615" s="172"/>
      <c r="AJ615" s="172"/>
      <c r="AK615" s="172"/>
      <c r="AL615" s="172"/>
      <c r="AM615" s="172"/>
    </row>
    <row r="616" spans="1:39" ht="12.75" customHeight="1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  <c r="AE616" s="172"/>
      <c r="AF616" s="172"/>
      <c r="AG616" s="172"/>
      <c r="AH616" s="172"/>
      <c r="AI616" s="172"/>
      <c r="AJ616" s="172"/>
      <c r="AK616" s="172"/>
      <c r="AL616" s="172"/>
      <c r="AM616" s="172"/>
    </row>
    <row r="617" spans="1:39" ht="12.75" customHeight="1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  <c r="AE617" s="172"/>
      <c r="AF617" s="172"/>
      <c r="AG617" s="172"/>
      <c r="AH617" s="172"/>
      <c r="AI617" s="172"/>
      <c r="AJ617" s="172"/>
      <c r="AK617" s="172"/>
      <c r="AL617" s="172"/>
      <c r="AM617" s="172"/>
    </row>
    <row r="618" spans="1:39" ht="12.75" customHeight="1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  <c r="AE618" s="172"/>
      <c r="AF618" s="172"/>
      <c r="AG618" s="172"/>
      <c r="AH618" s="172"/>
      <c r="AI618" s="172"/>
      <c r="AJ618" s="172"/>
      <c r="AK618" s="172"/>
      <c r="AL618" s="172"/>
      <c r="AM618" s="172"/>
    </row>
    <row r="619" spans="1:39" ht="12.75" customHeight="1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  <c r="AE619" s="172"/>
      <c r="AF619" s="172"/>
      <c r="AG619" s="172"/>
      <c r="AH619" s="172"/>
      <c r="AI619" s="172"/>
      <c r="AJ619" s="172"/>
      <c r="AK619" s="172"/>
      <c r="AL619" s="172"/>
      <c r="AM619" s="172"/>
    </row>
    <row r="620" spans="1:39" ht="12.75" customHeight="1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  <c r="AE620" s="172"/>
      <c r="AF620" s="172"/>
      <c r="AG620" s="172"/>
      <c r="AH620" s="172"/>
      <c r="AI620" s="172"/>
      <c r="AJ620" s="172"/>
      <c r="AK620" s="172"/>
      <c r="AL620" s="172"/>
      <c r="AM620" s="172"/>
    </row>
    <row r="621" spans="1:39" ht="12.75" customHeight="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</row>
    <row r="622" spans="1:39" ht="12.75" customHeight="1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  <c r="AE622" s="172"/>
      <c r="AF622" s="172"/>
      <c r="AG622" s="172"/>
      <c r="AH622" s="172"/>
      <c r="AI622" s="172"/>
      <c r="AJ622" s="172"/>
      <c r="AK622" s="172"/>
      <c r="AL622" s="172"/>
      <c r="AM622" s="172"/>
    </row>
    <row r="623" spans="1:39" ht="12.75" customHeight="1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  <c r="AE623" s="172"/>
      <c r="AF623" s="172"/>
      <c r="AG623" s="172"/>
      <c r="AH623" s="172"/>
      <c r="AI623" s="172"/>
      <c r="AJ623" s="172"/>
      <c r="AK623" s="172"/>
      <c r="AL623" s="172"/>
      <c r="AM623" s="172"/>
    </row>
    <row r="624" spans="1:39" ht="12.75" customHeight="1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  <c r="AE624" s="172"/>
      <c r="AF624" s="172"/>
      <c r="AG624" s="172"/>
      <c r="AH624" s="172"/>
      <c r="AI624" s="172"/>
      <c r="AJ624" s="172"/>
      <c r="AK624" s="172"/>
      <c r="AL624" s="172"/>
      <c r="AM624" s="172"/>
    </row>
    <row r="625" spans="1:39" ht="12.75" customHeight="1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  <c r="AE625" s="172"/>
      <c r="AF625" s="172"/>
      <c r="AG625" s="172"/>
      <c r="AH625" s="172"/>
      <c r="AI625" s="172"/>
      <c r="AJ625" s="172"/>
      <c r="AK625" s="172"/>
      <c r="AL625" s="172"/>
      <c r="AM625" s="172"/>
    </row>
    <row r="626" spans="1:39" ht="12.75" customHeight="1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  <c r="AE626" s="172"/>
      <c r="AF626" s="172"/>
      <c r="AG626" s="172"/>
      <c r="AH626" s="172"/>
      <c r="AI626" s="172"/>
      <c r="AJ626" s="172"/>
      <c r="AK626" s="172"/>
      <c r="AL626" s="172"/>
      <c r="AM626" s="172"/>
    </row>
    <row r="627" spans="1:39" ht="12.75" customHeight="1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</row>
    <row r="628" spans="1:39" ht="12.75" customHeight="1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</row>
    <row r="629" spans="1:39" ht="12.75" customHeight="1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</row>
    <row r="630" spans="1:39" ht="12.75" customHeight="1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</row>
    <row r="631" spans="1:39" ht="12.75" customHeight="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</row>
    <row r="632" spans="1:39" ht="12.75" customHeight="1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</row>
    <row r="633" spans="1:39" ht="12.75" customHeight="1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</row>
    <row r="634" spans="1:39" ht="12.75" customHeight="1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</row>
    <row r="635" spans="1:39" ht="12.75" customHeight="1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</row>
    <row r="636" spans="1:39" ht="12.75" customHeight="1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</row>
    <row r="637" spans="1:39" ht="12.75" customHeight="1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</row>
    <row r="638" spans="1:39" ht="12.75" customHeight="1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</row>
    <row r="639" spans="1:39" ht="12.75" customHeight="1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</row>
    <row r="640" spans="1:39" ht="12.75" customHeight="1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</row>
    <row r="641" spans="1:39" ht="12.75" customHeight="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</row>
    <row r="642" spans="1:39" ht="12.75" customHeight="1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</row>
    <row r="643" spans="1:39" ht="12.75" customHeight="1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</row>
    <row r="644" spans="1:39" ht="12.75" customHeight="1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</row>
    <row r="645" spans="1:39" ht="12.75" customHeight="1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</row>
    <row r="646" spans="1:39" ht="12.75" customHeight="1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</row>
    <row r="647" spans="1:39" ht="12.75" customHeight="1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</row>
    <row r="648" spans="1:39" ht="12.75" customHeight="1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</row>
    <row r="649" spans="1:39" ht="12.75" customHeight="1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</row>
    <row r="650" spans="1:39" ht="12.75" customHeight="1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</row>
    <row r="651" spans="1:39" ht="12.75" customHeight="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</row>
    <row r="652" spans="1:39" ht="12.75" customHeight="1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</row>
    <row r="653" spans="1:39" ht="12.75" customHeight="1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</row>
    <row r="654" spans="1:39" ht="12.75" customHeight="1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</row>
    <row r="655" spans="1:39" ht="12.75" customHeight="1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</row>
    <row r="656" spans="1:39" ht="12.75" customHeight="1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</row>
    <row r="657" spans="1:39" ht="12.75" customHeight="1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</row>
    <row r="658" spans="1:39" ht="12.75" customHeight="1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</row>
    <row r="659" spans="1:39" ht="12.75" customHeight="1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</row>
    <row r="660" spans="1:39" ht="12.75" customHeight="1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</row>
    <row r="661" spans="1:39" ht="12.75" customHeight="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</row>
    <row r="662" spans="1:39" ht="12.75" customHeight="1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</row>
    <row r="663" spans="1:39" ht="12.75" customHeight="1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</row>
    <row r="664" spans="1:39" ht="12.75" customHeight="1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</row>
    <row r="665" spans="1:39" ht="12.75" customHeight="1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</row>
    <row r="666" spans="1:39" ht="12.75" customHeight="1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</row>
    <row r="667" spans="1:39" ht="12.75" customHeight="1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</row>
    <row r="668" spans="1:39" ht="12.75" customHeight="1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</row>
    <row r="669" spans="1:39" ht="12.75" customHeight="1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</row>
    <row r="670" spans="1:39" ht="12.75" customHeight="1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</row>
    <row r="671" spans="1:39" ht="12.75" customHeight="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</row>
    <row r="672" spans="1:39" ht="12.75" customHeight="1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</row>
    <row r="673" spans="1:39" ht="12.75" customHeight="1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</row>
    <row r="674" spans="1:39" ht="12.75" customHeight="1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</row>
    <row r="675" spans="1:39" ht="12.75" customHeight="1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</row>
    <row r="676" spans="1:39" ht="12.75" customHeight="1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</row>
    <row r="677" spans="1:39" ht="12.75" customHeight="1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</row>
    <row r="678" spans="1:39" ht="12.75" customHeight="1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</row>
    <row r="679" spans="1:39" ht="12.75" customHeight="1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</row>
    <row r="680" spans="1:39" ht="12.75" customHeight="1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</row>
    <row r="681" spans="1:39" ht="12.75" customHeight="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</row>
    <row r="682" spans="1:39" ht="12.75" customHeight="1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</row>
    <row r="683" spans="1:39" ht="12.75" customHeight="1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</row>
    <row r="684" spans="1:39" ht="12.75" customHeight="1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</row>
    <row r="685" spans="1:39" ht="12.75" customHeight="1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</row>
    <row r="686" spans="1:39" ht="12.75" customHeight="1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</row>
    <row r="687" spans="1:39" ht="12.75" customHeight="1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</row>
    <row r="688" spans="1:39" ht="12.75" customHeight="1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</row>
    <row r="689" spans="1:39" ht="12.75" customHeight="1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</row>
    <row r="690" spans="1:39" ht="12.75" customHeight="1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</row>
    <row r="691" spans="1:39" ht="12.75" customHeight="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</row>
    <row r="692" spans="1:39" ht="12.75" customHeight="1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</row>
    <row r="693" spans="1:39" ht="12.75" customHeight="1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</row>
    <row r="694" spans="1:39" ht="12.75" customHeight="1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</row>
    <row r="695" spans="1:39" ht="12.75" customHeight="1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</row>
    <row r="696" spans="1:39" ht="12.75" customHeight="1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</row>
    <row r="697" spans="1:39" ht="12.75" customHeight="1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</row>
    <row r="698" spans="1:39" ht="12.75" customHeight="1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</row>
    <row r="699" spans="1:39" ht="12.75" customHeight="1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</row>
    <row r="700" spans="1:39" ht="12.75" customHeight="1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</row>
    <row r="701" spans="1:39" ht="12.75" customHeight="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</row>
    <row r="702" spans="1:39" ht="12.75" customHeight="1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</row>
    <row r="703" spans="1:39" ht="12.75" customHeight="1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</row>
    <row r="704" spans="1:39" ht="12.75" customHeight="1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</row>
    <row r="705" spans="1:39" ht="12.75" customHeight="1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</row>
    <row r="706" spans="1:39" ht="12.75" customHeight="1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</row>
    <row r="707" spans="1:39" ht="12.75" customHeight="1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</row>
    <row r="708" spans="1:39" ht="12.75" customHeight="1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</row>
    <row r="709" spans="1:39" ht="12.75" customHeight="1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</row>
    <row r="710" spans="1:39" ht="12.75" customHeight="1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</row>
    <row r="711" spans="1:39" ht="12.75" customHeight="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</row>
    <row r="712" spans="1:39" ht="12.75" customHeight="1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</row>
    <row r="713" spans="1:39" ht="12.75" customHeight="1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</row>
    <row r="714" spans="1:39" ht="12.75" customHeight="1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</row>
    <row r="715" spans="1:39" ht="12.75" customHeight="1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</row>
    <row r="716" spans="1:39" ht="12.75" customHeight="1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</row>
    <row r="717" spans="1:39" ht="12.75" customHeight="1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</row>
    <row r="718" spans="1:39" ht="12.75" customHeight="1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</row>
    <row r="719" spans="1:39" ht="12.75" customHeight="1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</row>
    <row r="720" spans="1:39" ht="12.75" customHeight="1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</row>
    <row r="721" spans="1:39" ht="12.75" customHeight="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</row>
    <row r="722" spans="1:39" ht="12.75" customHeight="1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</row>
    <row r="723" spans="1:39" ht="12.75" customHeight="1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</row>
    <row r="724" spans="1:39" ht="12.75" customHeight="1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</row>
    <row r="725" spans="1:39" ht="12.75" customHeight="1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</row>
    <row r="726" spans="1:39" ht="12.75" customHeight="1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</row>
    <row r="727" spans="1:39" ht="12.75" customHeight="1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</row>
    <row r="728" spans="1:39" ht="12.75" customHeight="1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</row>
    <row r="729" spans="1:39" ht="12.75" customHeight="1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</row>
    <row r="730" spans="1:39" ht="12.75" customHeight="1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</row>
    <row r="731" spans="1:39" ht="12.75" customHeight="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</row>
    <row r="732" spans="1:39" ht="12.75" customHeight="1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</row>
    <row r="733" spans="1:39" ht="12.75" customHeight="1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</row>
    <row r="734" spans="1:39" ht="12.75" customHeight="1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</row>
    <row r="735" spans="1:39" ht="12.75" customHeight="1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</row>
    <row r="736" spans="1:39" ht="12.75" customHeight="1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</row>
    <row r="737" spans="1:39" ht="12.75" customHeight="1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</row>
    <row r="738" spans="1:39" ht="12.75" customHeight="1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</row>
    <row r="739" spans="1:39" ht="12.75" customHeight="1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</row>
    <row r="740" spans="1:39" ht="12.75" customHeight="1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</row>
    <row r="741" spans="1:39" ht="12.75" customHeight="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</row>
    <row r="742" spans="1:39" ht="12.75" customHeight="1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</row>
    <row r="743" spans="1:39" ht="12.75" customHeight="1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</row>
    <row r="744" spans="1:39" ht="12.75" customHeight="1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</row>
    <row r="745" spans="1:39" ht="12.75" customHeight="1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</row>
    <row r="746" spans="1:39" ht="12.75" customHeight="1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</row>
    <row r="747" spans="1:39" ht="12.75" customHeight="1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</row>
    <row r="748" spans="1:39" ht="12.75" customHeight="1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</row>
    <row r="749" spans="1:39" ht="12.75" customHeight="1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</row>
    <row r="750" spans="1:39" ht="12.75" customHeight="1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</row>
    <row r="751" spans="1:39" ht="12.75" customHeight="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</row>
    <row r="752" spans="1:39" ht="12.75" customHeight="1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</row>
    <row r="753" spans="1:39" ht="12.75" customHeight="1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</row>
    <row r="754" spans="1:39" ht="12.75" customHeight="1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</row>
    <row r="755" spans="1:39" ht="12.75" customHeight="1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</row>
    <row r="756" spans="1:39" ht="12.75" customHeight="1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</row>
    <row r="757" spans="1:39" ht="12.75" customHeight="1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</row>
    <row r="758" spans="1:39" ht="12.75" customHeight="1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</row>
    <row r="759" spans="1:39" ht="12.75" customHeight="1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</row>
    <row r="760" spans="1:39" ht="12.75" customHeight="1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</row>
    <row r="761" spans="1:39" ht="12.75" customHeight="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</row>
    <row r="762" spans="1:39" ht="12.75" customHeight="1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</row>
    <row r="763" spans="1:39" ht="12.75" customHeight="1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</row>
    <row r="764" spans="1:39" ht="12.75" customHeight="1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</row>
    <row r="765" spans="1:39" ht="12.75" customHeight="1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</row>
    <row r="766" spans="1:39" ht="12.75" customHeight="1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</row>
    <row r="767" spans="1:39" ht="12.75" customHeight="1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</row>
    <row r="768" spans="1:39" ht="12.75" customHeight="1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</row>
    <row r="769" spans="1:39" ht="12.75" customHeight="1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</row>
    <row r="770" spans="1:39" ht="12.75" customHeight="1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</row>
    <row r="771" spans="1:39" ht="12.75" customHeight="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</row>
    <row r="772" spans="1:39" ht="12.75" customHeight="1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</row>
    <row r="773" spans="1:39" ht="12.75" customHeight="1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</row>
    <row r="774" spans="1:39" ht="12.75" customHeight="1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</row>
    <row r="775" spans="1:39" ht="12.75" customHeight="1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</row>
    <row r="776" spans="1:39" ht="12.75" customHeight="1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</row>
    <row r="777" spans="1:39" ht="12.75" customHeight="1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</row>
    <row r="778" spans="1:39" ht="12.75" customHeight="1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</row>
    <row r="779" spans="1:39" ht="12.75" customHeight="1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</row>
    <row r="780" spans="1:39" ht="12.75" customHeight="1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</row>
    <row r="781" spans="1:39" ht="12.75" customHeight="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</row>
    <row r="782" spans="1:39" ht="12.75" customHeight="1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</row>
    <row r="783" spans="1:39" ht="12.75" customHeight="1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</row>
    <row r="784" spans="1:39" ht="12.75" customHeight="1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</row>
    <row r="785" spans="1:39" ht="12.75" customHeight="1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</row>
    <row r="786" spans="1:39" ht="12.75" customHeight="1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</row>
    <row r="787" spans="1:39" ht="12.75" customHeight="1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</row>
    <row r="788" spans="1:39" ht="12.75" customHeight="1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</row>
    <row r="789" spans="1:39" ht="12.75" customHeight="1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</row>
    <row r="790" spans="1:39" ht="12.75" customHeight="1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</row>
    <row r="791" spans="1:39" ht="12.75" customHeight="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</row>
    <row r="792" spans="1:39" ht="12.75" customHeight="1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</row>
    <row r="793" spans="1:39" ht="12.75" customHeight="1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</row>
    <row r="794" spans="1:39" ht="12.75" customHeight="1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</row>
    <row r="795" spans="1:39" ht="12.75" customHeight="1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</row>
    <row r="796" spans="1:39" ht="12.75" customHeight="1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</row>
    <row r="797" spans="1:39" ht="12.75" customHeight="1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</row>
    <row r="798" spans="1:39" ht="12.75" customHeight="1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</row>
    <row r="799" spans="1:39" ht="12.75" customHeight="1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</row>
    <row r="800" spans="1:39" ht="12.75" customHeight="1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</row>
    <row r="801" spans="1:39" ht="12.75" customHeight="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</row>
    <row r="802" spans="1:39" ht="12.75" customHeight="1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</row>
    <row r="803" spans="1:39" ht="12.75" customHeight="1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</row>
    <row r="804" spans="1:39" ht="12.75" customHeight="1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</row>
    <row r="805" spans="1:39" ht="12.75" customHeight="1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</row>
    <row r="806" spans="1:39" ht="12.75" customHeight="1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</row>
    <row r="807" spans="1:39" ht="12.75" customHeight="1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</row>
    <row r="808" spans="1:39" ht="12.75" customHeight="1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</row>
    <row r="809" spans="1:39" ht="12.75" customHeight="1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</row>
    <row r="810" spans="1:39" ht="12.75" customHeight="1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</row>
    <row r="811" spans="1:39" ht="12.75" customHeight="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</row>
    <row r="812" spans="1:39" ht="12.75" customHeight="1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</row>
    <row r="813" spans="1:39" ht="12.75" customHeight="1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</row>
    <row r="814" spans="1:39" ht="12.75" customHeight="1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</row>
    <row r="815" spans="1:39" ht="12.75" customHeight="1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</row>
    <row r="816" spans="1:39" ht="12.75" customHeight="1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</row>
    <row r="817" spans="1:39" ht="12.75" customHeight="1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</row>
    <row r="818" spans="1:39" ht="12.75" customHeight="1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</row>
    <row r="819" spans="1:39" ht="12.75" customHeight="1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</row>
    <row r="820" spans="1:39" ht="12.75" customHeight="1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</row>
    <row r="821" spans="1:39" ht="12.75" customHeight="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</row>
    <row r="822" spans="1:39" ht="12.75" customHeight="1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</row>
    <row r="823" spans="1:39" ht="12.75" customHeight="1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</row>
    <row r="824" spans="1:39" ht="12.75" customHeight="1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</row>
    <row r="825" spans="1:39" ht="12.75" customHeight="1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</row>
    <row r="826" spans="1:39" ht="12.75" customHeight="1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</row>
    <row r="827" spans="1:39" ht="12.75" customHeight="1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</row>
    <row r="828" spans="1:39" ht="12.75" customHeight="1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</row>
    <row r="829" spans="1:39" ht="12.75" customHeight="1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</row>
    <row r="830" spans="1:39" ht="12.75" customHeight="1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</row>
    <row r="831" spans="1:39" ht="12.75" customHeight="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</row>
    <row r="832" spans="1:39" ht="12.75" customHeight="1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</row>
    <row r="833" spans="1:39" ht="12.75" customHeight="1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</row>
    <row r="834" spans="1:39" ht="12.75" customHeight="1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</row>
    <row r="835" spans="1:39" ht="12.75" customHeight="1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</row>
    <row r="836" spans="1:39" ht="12.75" customHeight="1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</row>
    <row r="837" spans="1:39" ht="12.75" customHeight="1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</row>
    <row r="838" spans="1:39" ht="12.75" customHeight="1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</row>
    <row r="839" spans="1:39" ht="12.75" customHeight="1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</row>
    <row r="840" spans="1:39" ht="12.75" customHeight="1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</row>
    <row r="841" spans="1:39" ht="12.75" customHeight="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</row>
    <row r="842" spans="1:39" ht="12.75" customHeight="1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</row>
    <row r="843" spans="1:39" ht="12.75" customHeight="1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</row>
    <row r="844" spans="1:39" ht="12.75" customHeight="1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</row>
    <row r="845" spans="1:39" ht="12.75" customHeight="1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</row>
    <row r="846" spans="1:39" ht="12.75" customHeight="1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</row>
    <row r="847" spans="1:39" ht="12.75" customHeight="1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</row>
    <row r="848" spans="1:39" ht="12.75" customHeight="1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</row>
    <row r="849" spans="1:39" ht="12.75" customHeight="1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</row>
    <row r="850" spans="1:39" ht="12.75" customHeight="1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</row>
    <row r="851" spans="1:39" ht="12.75" customHeight="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</row>
    <row r="852" spans="1:39" ht="12.75" customHeight="1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  <c r="AE852" s="172"/>
      <c r="AF852" s="172"/>
      <c r="AG852" s="172"/>
      <c r="AH852" s="172"/>
      <c r="AI852" s="172"/>
      <c r="AJ852" s="172"/>
      <c r="AK852" s="172"/>
      <c r="AL852" s="172"/>
      <c r="AM852" s="172"/>
    </row>
    <row r="853" spans="1:39" ht="12.75" customHeight="1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  <c r="AE853" s="172"/>
      <c r="AF853" s="172"/>
      <c r="AG853" s="172"/>
      <c r="AH853" s="172"/>
      <c r="AI853" s="172"/>
      <c r="AJ853" s="172"/>
      <c r="AK853" s="172"/>
      <c r="AL853" s="172"/>
      <c r="AM853" s="172"/>
    </row>
    <row r="854" spans="1:39" ht="12.75" customHeight="1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  <c r="AE854" s="172"/>
      <c r="AF854" s="172"/>
      <c r="AG854" s="172"/>
      <c r="AH854" s="172"/>
      <c r="AI854" s="172"/>
      <c r="AJ854" s="172"/>
      <c r="AK854" s="172"/>
      <c r="AL854" s="172"/>
      <c r="AM854" s="172"/>
    </row>
    <row r="855" spans="1:39" ht="12.75" customHeight="1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  <c r="AE855" s="172"/>
      <c r="AF855" s="172"/>
      <c r="AG855" s="172"/>
      <c r="AH855" s="172"/>
      <c r="AI855" s="172"/>
      <c r="AJ855" s="172"/>
      <c r="AK855" s="172"/>
      <c r="AL855" s="172"/>
      <c r="AM855" s="172"/>
    </row>
    <row r="856" spans="1:39" ht="12.75" customHeight="1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  <c r="AE856" s="172"/>
      <c r="AF856" s="172"/>
      <c r="AG856" s="172"/>
      <c r="AH856" s="172"/>
      <c r="AI856" s="172"/>
      <c r="AJ856" s="172"/>
      <c r="AK856" s="172"/>
      <c r="AL856" s="172"/>
      <c r="AM856" s="172"/>
    </row>
    <row r="857" spans="1:39" ht="12.75" customHeight="1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  <c r="AE857" s="172"/>
      <c r="AF857" s="172"/>
      <c r="AG857" s="172"/>
      <c r="AH857" s="172"/>
      <c r="AI857" s="172"/>
      <c r="AJ857" s="172"/>
      <c r="AK857" s="172"/>
      <c r="AL857" s="172"/>
      <c r="AM857" s="172"/>
    </row>
    <row r="858" spans="1:39" ht="12.75" customHeight="1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  <c r="AE858" s="172"/>
      <c r="AF858" s="172"/>
      <c r="AG858" s="172"/>
      <c r="AH858" s="172"/>
      <c r="AI858" s="172"/>
      <c r="AJ858" s="172"/>
      <c r="AK858" s="172"/>
      <c r="AL858" s="172"/>
      <c r="AM858" s="172"/>
    </row>
    <row r="859" spans="1:39" ht="12.75" customHeight="1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  <c r="AE859" s="172"/>
      <c r="AF859" s="172"/>
      <c r="AG859" s="172"/>
      <c r="AH859" s="172"/>
      <c r="AI859" s="172"/>
      <c r="AJ859" s="172"/>
      <c r="AK859" s="172"/>
      <c r="AL859" s="172"/>
      <c r="AM859" s="172"/>
    </row>
    <row r="860" spans="1:39" ht="12.75" customHeight="1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  <c r="AE860" s="172"/>
      <c r="AF860" s="172"/>
      <c r="AG860" s="172"/>
      <c r="AH860" s="172"/>
      <c r="AI860" s="172"/>
      <c r="AJ860" s="172"/>
      <c r="AK860" s="172"/>
      <c r="AL860" s="172"/>
      <c r="AM860" s="172"/>
    </row>
    <row r="861" spans="1:39" ht="12.75" customHeight="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  <c r="AE861" s="172"/>
      <c r="AF861" s="172"/>
      <c r="AG861" s="172"/>
      <c r="AH861" s="172"/>
      <c r="AI861" s="172"/>
      <c r="AJ861" s="172"/>
      <c r="AK861" s="172"/>
      <c r="AL861" s="172"/>
      <c r="AM861" s="172"/>
    </row>
    <row r="862" spans="1:39" ht="12.75" customHeight="1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  <c r="AE862" s="172"/>
      <c r="AF862" s="172"/>
      <c r="AG862" s="172"/>
      <c r="AH862" s="172"/>
      <c r="AI862" s="172"/>
      <c r="AJ862" s="172"/>
      <c r="AK862" s="172"/>
      <c r="AL862" s="172"/>
      <c r="AM862" s="172"/>
    </row>
    <row r="863" spans="1:39" ht="12.75" customHeight="1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  <c r="AE863" s="172"/>
      <c r="AF863" s="172"/>
      <c r="AG863" s="172"/>
      <c r="AH863" s="172"/>
      <c r="AI863" s="172"/>
      <c r="AJ863" s="172"/>
      <c r="AK863" s="172"/>
      <c r="AL863" s="172"/>
      <c r="AM863" s="172"/>
    </row>
    <row r="864" spans="1:39" ht="12.75" customHeight="1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  <c r="AE864" s="172"/>
      <c r="AF864" s="172"/>
      <c r="AG864" s="172"/>
      <c r="AH864" s="172"/>
      <c r="AI864" s="172"/>
      <c r="AJ864" s="172"/>
      <c r="AK864" s="172"/>
      <c r="AL864" s="172"/>
      <c r="AM864" s="172"/>
    </row>
    <row r="865" spans="1:39" ht="12.75" customHeight="1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  <c r="AE865" s="172"/>
      <c r="AF865" s="172"/>
      <c r="AG865" s="172"/>
      <c r="AH865" s="172"/>
      <c r="AI865" s="172"/>
      <c r="AJ865" s="172"/>
      <c r="AK865" s="172"/>
      <c r="AL865" s="172"/>
      <c r="AM865" s="172"/>
    </row>
    <row r="866" spans="1:39" ht="12.75" customHeight="1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  <c r="AE866" s="172"/>
      <c r="AF866" s="172"/>
      <c r="AG866" s="172"/>
      <c r="AH866" s="172"/>
      <c r="AI866" s="172"/>
      <c r="AJ866" s="172"/>
      <c r="AK866" s="172"/>
      <c r="AL866" s="172"/>
      <c r="AM866" s="172"/>
    </row>
    <row r="867" spans="1:39" ht="12.75" customHeight="1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  <c r="AE867" s="172"/>
      <c r="AF867" s="172"/>
      <c r="AG867" s="172"/>
      <c r="AH867" s="172"/>
      <c r="AI867" s="172"/>
      <c r="AJ867" s="172"/>
      <c r="AK867" s="172"/>
      <c r="AL867" s="172"/>
      <c r="AM867" s="172"/>
    </row>
    <row r="868" spans="1:39" ht="12.75" customHeight="1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  <c r="AE868" s="172"/>
      <c r="AF868" s="172"/>
      <c r="AG868" s="172"/>
      <c r="AH868" s="172"/>
      <c r="AI868" s="172"/>
      <c r="AJ868" s="172"/>
      <c r="AK868" s="172"/>
      <c r="AL868" s="172"/>
      <c r="AM868" s="172"/>
    </row>
    <row r="869" spans="1:39" ht="12.75" customHeight="1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  <c r="AE869" s="172"/>
      <c r="AF869" s="172"/>
      <c r="AG869" s="172"/>
      <c r="AH869" s="172"/>
      <c r="AI869" s="172"/>
      <c r="AJ869" s="172"/>
      <c r="AK869" s="172"/>
      <c r="AL869" s="172"/>
      <c r="AM869" s="172"/>
    </row>
    <row r="870" spans="1:39" ht="12.75" customHeight="1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  <c r="AE870" s="172"/>
      <c r="AF870" s="172"/>
      <c r="AG870" s="172"/>
      <c r="AH870" s="172"/>
      <c r="AI870" s="172"/>
      <c r="AJ870" s="172"/>
      <c r="AK870" s="172"/>
      <c r="AL870" s="172"/>
      <c r="AM870" s="172"/>
    </row>
    <row r="871" spans="1:39" ht="12.75" customHeight="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  <c r="AE871" s="172"/>
      <c r="AF871" s="172"/>
      <c r="AG871" s="172"/>
      <c r="AH871" s="172"/>
      <c r="AI871" s="172"/>
      <c r="AJ871" s="172"/>
      <c r="AK871" s="172"/>
      <c r="AL871" s="172"/>
      <c r="AM871" s="172"/>
    </row>
    <row r="872" spans="1:39" ht="12.75" customHeight="1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  <c r="AE872" s="172"/>
      <c r="AF872" s="172"/>
      <c r="AG872" s="172"/>
      <c r="AH872" s="172"/>
      <c r="AI872" s="172"/>
      <c r="AJ872" s="172"/>
      <c r="AK872" s="172"/>
      <c r="AL872" s="172"/>
      <c r="AM872" s="172"/>
    </row>
    <row r="873" spans="1:39" ht="12.75" customHeight="1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  <c r="AE873" s="172"/>
      <c r="AF873" s="172"/>
      <c r="AG873" s="172"/>
      <c r="AH873" s="172"/>
      <c r="AI873" s="172"/>
      <c r="AJ873" s="172"/>
      <c r="AK873" s="172"/>
      <c r="AL873" s="172"/>
      <c r="AM873" s="172"/>
    </row>
    <row r="874" spans="1:39" ht="12.75" customHeight="1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  <c r="AE874" s="172"/>
      <c r="AF874" s="172"/>
      <c r="AG874" s="172"/>
      <c r="AH874" s="172"/>
      <c r="AI874" s="172"/>
      <c r="AJ874" s="172"/>
      <c r="AK874" s="172"/>
      <c r="AL874" s="172"/>
      <c r="AM874" s="172"/>
    </row>
    <row r="875" spans="1:39" ht="12.75" customHeight="1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  <c r="AE875" s="172"/>
      <c r="AF875" s="172"/>
      <c r="AG875" s="172"/>
      <c r="AH875" s="172"/>
      <c r="AI875" s="172"/>
      <c r="AJ875" s="172"/>
      <c r="AK875" s="172"/>
      <c r="AL875" s="172"/>
      <c r="AM875" s="172"/>
    </row>
    <row r="876" spans="1:39" ht="12.75" customHeight="1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  <c r="AE876" s="172"/>
      <c r="AF876" s="172"/>
      <c r="AG876" s="172"/>
      <c r="AH876" s="172"/>
      <c r="AI876" s="172"/>
      <c r="AJ876" s="172"/>
      <c r="AK876" s="172"/>
      <c r="AL876" s="172"/>
      <c r="AM876" s="172"/>
    </row>
    <row r="877" spans="1:39" ht="12.75" customHeight="1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  <c r="AE877" s="172"/>
      <c r="AF877" s="172"/>
      <c r="AG877" s="172"/>
      <c r="AH877" s="172"/>
      <c r="AI877" s="172"/>
      <c r="AJ877" s="172"/>
      <c r="AK877" s="172"/>
      <c r="AL877" s="172"/>
      <c r="AM877" s="172"/>
    </row>
    <row r="878" spans="1:39" ht="12.75" customHeight="1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  <c r="AE878" s="172"/>
      <c r="AF878" s="172"/>
      <c r="AG878" s="172"/>
      <c r="AH878" s="172"/>
      <c r="AI878" s="172"/>
      <c r="AJ878" s="172"/>
      <c r="AK878" s="172"/>
      <c r="AL878" s="172"/>
      <c r="AM878" s="172"/>
    </row>
    <row r="879" spans="1:39" ht="12.75" customHeight="1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  <c r="AE879" s="172"/>
      <c r="AF879" s="172"/>
      <c r="AG879" s="172"/>
      <c r="AH879" s="172"/>
      <c r="AI879" s="172"/>
      <c r="AJ879" s="172"/>
      <c r="AK879" s="172"/>
      <c r="AL879" s="172"/>
      <c r="AM879" s="172"/>
    </row>
    <row r="880" spans="1:39" ht="12.75" customHeight="1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  <c r="AE880" s="172"/>
      <c r="AF880" s="172"/>
      <c r="AG880" s="172"/>
      <c r="AH880" s="172"/>
      <c r="AI880" s="172"/>
      <c r="AJ880" s="172"/>
      <c r="AK880" s="172"/>
      <c r="AL880" s="172"/>
      <c r="AM880" s="172"/>
    </row>
    <row r="881" spans="1:39" ht="12.75" customHeight="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  <c r="AE881" s="172"/>
      <c r="AF881" s="172"/>
      <c r="AG881" s="172"/>
      <c r="AH881" s="172"/>
      <c r="AI881" s="172"/>
      <c r="AJ881" s="172"/>
      <c r="AK881" s="172"/>
      <c r="AL881" s="172"/>
      <c r="AM881" s="172"/>
    </row>
    <row r="882" spans="1:39" ht="12.75" customHeight="1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  <c r="AE882" s="172"/>
      <c r="AF882" s="172"/>
      <c r="AG882" s="172"/>
      <c r="AH882" s="172"/>
      <c r="AI882" s="172"/>
      <c r="AJ882" s="172"/>
      <c r="AK882" s="172"/>
      <c r="AL882" s="172"/>
      <c r="AM882" s="172"/>
    </row>
    <row r="883" spans="1:39" ht="12.75" customHeight="1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  <c r="AE883" s="172"/>
      <c r="AF883" s="172"/>
      <c r="AG883" s="172"/>
      <c r="AH883" s="172"/>
      <c r="AI883" s="172"/>
      <c r="AJ883" s="172"/>
      <c r="AK883" s="172"/>
      <c r="AL883" s="172"/>
      <c r="AM883" s="172"/>
    </row>
    <row r="884" spans="1:39" ht="12.75" customHeight="1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  <c r="AE884" s="172"/>
      <c r="AF884" s="172"/>
      <c r="AG884" s="172"/>
      <c r="AH884" s="172"/>
      <c r="AI884" s="172"/>
      <c r="AJ884" s="172"/>
      <c r="AK884" s="172"/>
      <c r="AL884" s="172"/>
      <c r="AM884" s="172"/>
    </row>
    <row r="885" spans="1:39" ht="12.75" customHeight="1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  <c r="AE885" s="172"/>
      <c r="AF885" s="172"/>
      <c r="AG885" s="172"/>
      <c r="AH885" s="172"/>
      <c r="AI885" s="172"/>
      <c r="AJ885" s="172"/>
      <c r="AK885" s="172"/>
      <c r="AL885" s="172"/>
      <c r="AM885" s="172"/>
    </row>
    <row r="886" spans="1:39" ht="12.75" customHeight="1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72"/>
      <c r="AG886" s="172"/>
      <c r="AH886" s="172"/>
      <c r="AI886" s="172"/>
      <c r="AJ886" s="172"/>
      <c r="AK886" s="172"/>
      <c r="AL886" s="172"/>
      <c r="AM886" s="172"/>
    </row>
    <row r="887" spans="1:39" ht="12.75" customHeight="1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  <c r="AE887" s="172"/>
      <c r="AF887" s="172"/>
      <c r="AG887" s="172"/>
      <c r="AH887" s="172"/>
      <c r="AI887" s="172"/>
      <c r="AJ887" s="172"/>
      <c r="AK887" s="172"/>
      <c r="AL887" s="172"/>
      <c r="AM887" s="172"/>
    </row>
    <row r="888" spans="1:39" ht="12.75" customHeight="1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  <c r="AE888" s="172"/>
      <c r="AF888" s="172"/>
      <c r="AG888" s="172"/>
      <c r="AH888" s="172"/>
      <c r="AI888" s="172"/>
      <c r="AJ888" s="172"/>
      <c r="AK888" s="172"/>
      <c r="AL888" s="172"/>
      <c r="AM888" s="172"/>
    </row>
    <row r="889" spans="1:39" ht="12.75" customHeight="1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  <c r="AE889" s="172"/>
      <c r="AF889" s="172"/>
      <c r="AG889" s="172"/>
      <c r="AH889" s="172"/>
      <c r="AI889" s="172"/>
      <c r="AJ889" s="172"/>
      <c r="AK889" s="172"/>
      <c r="AL889" s="172"/>
      <c r="AM889" s="172"/>
    </row>
    <row r="890" spans="1:39" ht="12.75" customHeight="1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  <c r="AE890" s="172"/>
      <c r="AF890" s="172"/>
      <c r="AG890" s="172"/>
      <c r="AH890" s="172"/>
      <c r="AI890" s="172"/>
      <c r="AJ890" s="172"/>
      <c r="AK890" s="172"/>
      <c r="AL890" s="172"/>
      <c r="AM890" s="172"/>
    </row>
    <row r="891" spans="1:39" ht="12.75" customHeight="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  <c r="AE891" s="172"/>
      <c r="AF891" s="172"/>
      <c r="AG891" s="172"/>
      <c r="AH891" s="172"/>
      <c r="AI891" s="172"/>
      <c r="AJ891" s="172"/>
      <c r="AK891" s="172"/>
      <c r="AL891" s="172"/>
      <c r="AM891" s="172"/>
    </row>
    <row r="892" spans="1:39" ht="12.75" customHeight="1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  <c r="AE892" s="172"/>
      <c r="AF892" s="172"/>
      <c r="AG892" s="172"/>
      <c r="AH892" s="172"/>
      <c r="AI892" s="172"/>
      <c r="AJ892" s="172"/>
      <c r="AK892" s="172"/>
      <c r="AL892" s="172"/>
      <c r="AM892" s="172"/>
    </row>
    <row r="893" spans="1:39" ht="12.75" customHeight="1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  <c r="AE893" s="172"/>
      <c r="AF893" s="172"/>
      <c r="AG893" s="172"/>
      <c r="AH893" s="172"/>
      <c r="AI893" s="172"/>
      <c r="AJ893" s="172"/>
      <c r="AK893" s="172"/>
      <c r="AL893" s="172"/>
      <c r="AM893" s="172"/>
    </row>
    <row r="894" spans="1:39" ht="12.75" customHeight="1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  <c r="AE894" s="172"/>
      <c r="AF894" s="172"/>
      <c r="AG894" s="172"/>
      <c r="AH894" s="172"/>
      <c r="AI894" s="172"/>
      <c r="AJ894" s="172"/>
      <c r="AK894" s="172"/>
      <c r="AL894" s="172"/>
      <c r="AM894" s="172"/>
    </row>
    <row r="895" spans="1:39" ht="12.75" customHeight="1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  <c r="AE895" s="172"/>
      <c r="AF895" s="172"/>
      <c r="AG895" s="172"/>
      <c r="AH895" s="172"/>
      <c r="AI895" s="172"/>
      <c r="AJ895" s="172"/>
      <c r="AK895" s="172"/>
      <c r="AL895" s="172"/>
      <c r="AM895" s="172"/>
    </row>
    <row r="896" spans="1:39" ht="12.75" customHeight="1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  <c r="AE896" s="172"/>
      <c r="AF896" s="172"/>
      <c r="AG896" s="172"/>
      <c r="AH896" s="172"/>
      <c r="AI896" s="172"/>
      <c r="AJ896" s="172"/>
      <c r="AK896" s="172"/>
      <c r="AL896" s="172"/>
      <c r="AM896" s="172"/>
    </row>
    <row r="897" spans="1:39" ht="12.75" customHeight="1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  <c r="AE897" s="172"/>
      <c r="AF897" s="172"/>
      <c r="AG897" s="172"/>
      <c r="AH897" s="172"/>
      <c r="AI897" s="172"/>
      <c r="AJ897" s="172"/>
      <c r="AK897" s="172"/>
      <c r="AL897" s="172"/>
      <c r="AM897" s="172"/>
    </row>
    <row r="898" spans="1:39" ht="12.75" customHeight="1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  <c r="AE898" s="172"/>
      <c r="AF898" s="172"/>
      <c r="AG898" s="172"/>
      <c r="AH898" s="172"/>
      <c r="AI898" s="172"/>
      <c r="AJ898" s="172"/>
      <c r="AK898" s="172"/>
      <c r="AL898" s="172"/>
      <c r="AM898" s="172"/>
    </row>
    <row r="899" spans="1:39" ht="12.75" customHeight="1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  <c r="AE899" s="172"/>
      <c r="AF899" s="172"/>
      <c r="AG899" s="172"/>
      <c r="AH899" s="172"/>
      <c r="AI899" s="172"/>
      <c r="AJ899" s="172"/>
      <c r="AK899" s="172"/>
      <c r="AL899" s="172"/>
      <c r="AM899" s="172"/>
    </row>
    <row r="900" spans="1:39" ht="12.75" customHeight="1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  <c r="AE900" s="172"/>
      <c r="AF900" s="172"/>
      <c r="AG900" s="172"/>
      <c r="AH900" s="172"/>
      <c r="AI900" s="172"/>
      <c r="AJ900" s="172"/>
      <c r="AK900" s="172"/>
      <c r="AL900" s="172"/>
      <c r="AM900" s="172"/>
    </row>
    <row r="901" spans="1:39" ht="12.75" customHeight="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  <c r="AE901" s="172"/>
      <c r="AF901" s="172"/>
      <c r="AG901" s="172"/>
      <c r="AH901" s="172"/>
      <c r="AI901" s="172"/>
      <c r="AJ901" s="172"/>
      <c r="AK901" s="172"/>
      <c r="AL901" s="172"/>
      <c r="AM901" s="172"/>
    </row>
    <row r="902" spans="1:39" ht="12.75" customHeight="1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  <c r="AE902" s="172"/>
      <c r="AF902" s="172"/>
      <c r="AG902" s="172"/>
      <c r="AH902" s="172"/>
      <c r="AI902" s="172"/>
      <c r="AJ902" s="172"/>
      <c r="AK902" s="172"/>
      <c r="AL902" s="172"/>
      <c r="AM902" s="172"/>
    </row>
    <row r="903" spans="1:39" ht="12.75" customHeight="1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  <c r="AE903" s="172"/>
      <c r="AF903" s="172"/>
      <c r="AG903" s="172"/>
      <c r="AH903" s="172"/>
      <c r="AI903" s="172"/>
      <c r="AJ903" s="172"/>
      <c r="AK903" s="172"/>
      <c r="AL903" s="172"/>
      <c r="AM903" s="172"/>
    </row>
    <row r="904" spans="1:39" ht="12.75" customHeight="1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  <c r="AE904" s="172"/>
      <c r="AF904" s="172"/>
      <c r="AG904" s="172"/>
      <c r="AH904" s="172"/>
      <c r="AI904" s="172"/>
      <c r="AJ904" s="172"/>
      <c r="AK904" s="172"/>
      <c r="AL904" s="172"/>
      <c r="AM904" s="172"/>
    </row>
    <row r="905" spans="1:39" ht="12.75" customHeight="1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  <c r="AE905" s="172"/>
      <c r="AF905" s="172"/>
      <c r="AG905" s="172"/>
      <c r="AH905" s="172"/>
      <c r="AI905" s="172"/>
      <c r="AJ905" s="172"/>
      <c r="AK905" s="172"/>
      <c r="AL905" s="172"/>
      <c r="AM905" s="172"/>
    </row>
    <row r="906" spans="1:39" ht="12.75" customHeight="1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  <c r="AE906" s="172"/>
      <c r="AF906" s="172"/>
      <c r="AG906" s="172"/>
      <c r="AH906" s="172"/>
      <c r="AI906" s="172"/>
      <c r="AJ906" s="172"/>
      <c r="AK906" s="172"/>
      <c r="AL906" s="172"/>
      <c r="AM906" s="172"/>
    </row>
    <row r="907" spans="1:39" ht="12.75" customHeight="1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  <c r="AE907" s="172"/>
      <c r="AF907" s="172"/>
      <c r="AG907" s="172"/>
      <c r="AH907" s="172"/>
      <c r="AI907" s="172"/>
      <c r="AJ907" s="172"/>
      <c r="AK907" s="172"/>
      <c r="AL907" s="172"/>
      <c r="AM907" s="172"/>
    </row>
    <row r="908" spans="1:39" ht="12.75" customHeight="1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  <c r="AE908" s="172"/>
      <c r="AF908" s="172"/>
      <c r="AG908" s="172"/>
      <c r="AH908" s="172"/>
      <c r="AI908" s="172"/>
      <c r="AJ908" s="172"/>
      <c r="AK908" s="172"/>
      <c r="AL908" s="172"/>
      <c r="AM908" s="172"/>
    </row>
    <row r="909" spans="1:39" ht="12.75" customHeight="1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  <c r="AE909" s="172"/>
      <c r="AF909" s="172"/>
      <c r="AG909" s="172"/>
      <c r="AH909" s="172"/>
      <c r="AI909" s="172"/>
      <c r="AJ909" s="172"/>
      <c r="AK909" s="172"/>
      <c r="AL909" s="172"/>
      <c r="AM909" s="172"/>
    </row>
    <row r="910" spans="1:39" ht="12.75" customHeight="1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  <c r="AE910" s="172"/>
      <c r="AF910" s="172"/>
      <c r="AG910" s="172"/>
      <c r="AH910" s="172"/>
      <c r="AI910" s="172"/>
      <c r="AJ910" s="172"/>
      <c r="AK910" s="172"/>
      <c r="AL910" s="172"/>
      <c r="AM910" s="172"/>
    </row>
    <row r="911" spans="1:39" ht="12.75" customHeight="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  <c r="AE911" s="172"/>
      <c r="AF911" s="172"/>
      <c r="AG911" s="172"/>
      <c r="AH911" s="172"/>
      <c r="AI911" s="172"/>
      <c r="AJ911" s="172"/>
      <c r="AK911" s="172"/>
      <c r="AL911" s="172"/>
      <c r="AM911" s="172"/>
    </row>
    <row r="912" spans="1:39" ht="12.75" customHeight="1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  <c r="AE912" s="172"/>
      <c r="AF912" s="172"/>
      <c r="AG912" s="172"/>
      <c r="AH912" s="172"/>
      <c r="AI912" s="172"/>
      <c r="AJ912" s="172"/>
      <c r="AK912" s="172"/>
      <c r="AL912" s="172"/>
      <c r="AM912" s="172"/>
    </row>
    <row r="913" spans="1:39" ht="12.75" customHeight="1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  <c r="AE913" s="172"/>
      <c r="AF913" s="172"/>
      <c r="AG913" s="172"/>
      <c r="AH913" s="172"/>
      <c r="AI913" s="172"/>
      <c r="AJ913" s="172"/>
      <c r="AK913" s="172"/>
      <c r="AL913" s="172"/>
      <c r="AM913" s="172"/>
    </row>
    <row r="914" spans="1:39" ht="12.75" customHeight="1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  <c r="AE914" s="172"/>
      <c r="AF914" s="172"/>
      <c r="AG914" s="172"/>
      <c r="AH914" s="172"/>
      <c r="AI914" s="172"/>
      <c r="AJ914" s="172"/>
      <c r="AK914" s="172"/>
      <c r="AL914" s="172"/>
      <c r="AM914" s="172"/>
    </row>
    <row r="915" spans="1:39" ht="12.75" customHeight="1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  <c r="AE915" s="172"/>
      <c r="AF915" s="172"/>
      <c r="AG915" s="172"/>
      <c r="AH915" s="172"/>
      <c r="AI915" s="172"/>
      <c r="AJ915" s="172"/>
      <c r="AK915" s="172"/>
      <c r="AL915" s="172"/>
      <c r="AM915" s="172"/>
    </row>
    <row r="916" spans="1:39" ht="12.75" customHeight="1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  <c r="AE916" s="172"/>
      <c r="AF916" s="172"/>
      <c r="AG916" s="172"/>
      <c r="AH916" s="172"/>
      <c r="AI916" s="172"/>
      <c r="AJ916" s="172"/>
      <c r="AK916" s="172"/>
      <c r="AL916" s="172"/>
      <c r="AM916" s="172"/>
    </row>
    <row r="917" spans="1:39" ht="12.75" customHeight="1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  <c r="AE917" s="172"/>
      <c r="AF917" s="172"/>
      <c r="AG917" s="172"/>
      <c r="AH917" s="172"/>
      <c r="AI917" s="172"/>
      <c r="AJ917" s="172"/>
      <c r="AK917" s="172"/>
      <c r="AL917" s="172"/>
      <c r="AM917" s="172"/>
    </row>
    <row r="918" spans="1:39" ht="12.75" customHeight="1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  <c r="AE918" s="172"/>
      <c r="AF918" s="172"/>
      <c r="AG918" s="172"/>
      <c r="AH918" s="172"/>
      <c r="AI918" s="172"/>
      <c r="AJ918" s="172"/>
      <c r="AK918" s="172"/>
      <c r="AL918" s="172"/>
      <c r="AM918" s="172"/>
    </row>
    <row r="919" spans="1:39" ht="12.75" customHeight="1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  <c r="AE919" s="172"/>
      <c r="AF919" s="172"/>
      <c r="AG919" s="172"/>
      <c r="AH919" s="172"/>
      <c r="AI919" s="172"/>
      <c r="AJ919" s="172"/>
      <c r="AK919" s="172"/>
      <c r="AL919" s="172"/>
      <c r="AM919" s="172"/>
    </row>
    <row r="920" spans="1:39" ht="12.75" customHeight="1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  <c r="AE920" s="172"/>
      <c r="AF920" s="172"/>
      <c r="AG920" s="172"/>
      <c r="AH920" s="172"/>
      <c r="AI920" s="172"/>
      <c r="AJ920" s="172"/>
      <c r="AK920" s="172"/>
      <c r="AL920" s="172"/>
      <c r="AM920" s="172"/>
    </row>
    <row r="921" spans="1:39" ht="12.75" customHeight="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  <c r="AE921" s="172"/>
      <c r="AF921" s="172"/>
      <c r="AG921" s="172"/>
      <c r="AH921" s="172"/>
      <c r="AI921" s="172"/>
      <c r="AJ921" s="172"/>
      <c r="AK921" s="172"/>
      <c r="AL921" s="172"/>
      <c r="AM921" s="172"/>
    </row>
    <row r="922" spans="1:39" ht="12.75" customHeight="1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  <c r="AE922" s="172"/>
      <c r="AF922" s="172"/>
      <c r="AG922" s="172"/>
      <c r="AH922" s="172"/>
      <c r="AI922" s="172"/>
      <c r="AJ922" s="172"/>
      <c r="AK922" s="172"/>
      <c r="AL922" s="172"/>
      <c r="AM922" s="172"/>
    </row>
    <row r="923" spans="1:39" ht="12.75" customHeight="1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  <c r="AE923" s="172"/>
      <c r="AF923" s="172"/>
      <c r="AG923" s="172"/>
      <c r="AH923" s="172"/>
      <c r="AI923" s="172"/>
      <c r="AJ923" s="172"/>
      <c r="AK923" s="172"/>
      <c r="AL923" s="172"/>
      <c r="AM923" s="172"/>
    </row>
    <row r="924" spans="1:39" ht="12.75" customHeight="1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  <c r="AE924" s="172"/>
      <c r="AF924" s="172"/>
      <c r="AG924" s="172"/>
      <c r="AH924" s="172"/>
      <c r="AI924" s="172"/>
      <c r="AJ924" s="172"/>
      <c r="AK924" s="172"/>
      <c r="AL924" s="172"/>
      <c r="AM924" s="172"/>
    </row>
    <row r="925" spans="1:39" ht="12.75" customHeight="1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  <c r="AE925" s="172"/>
      <c r="AF925" s="172"/>
      <c r="AG925" s="172"/>
      <c r="AH925" s="172"/>
      <c r="AI925" s="172"/>
      <c r="AJ925" s="172"/>
      <c r="AK925" s="172"/>
      <c r="AL925" s="172"/>
      <c r="AM925" s="172"/>
    </row>
    <row r="926" spans="1:39" ht="12.75" customHeight="1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  <c r="AE926" s="172"/>
      <c r="AF926" s="172"/>
      <c r="AG926" s="172"/>
      <c r="AH926" s="172"/>
      <c r="AI926" s="172"/>
      <c r="AJ926" s="172"/>
      <c r="AK926" s="172"/>
      <c r="AL926" s="172"/>
      <c r="AM926" s="172"/>
    </row>
    <row r="927" spans="1:39" ht="12.75" customHeight="1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  <c r="AE927" s="172"/>
      <c r="AF927" s="172"/>
      <c r="AG927" s="172"/>
      <c r="AH927" s="172"/>
      <c r="AI927" s="172"/>
      <c r="AJ927" s="172"/>
      <c r="AK927" s="172"/>
      <c r="AL927" s="172"/>
      <c r="AM927" s="172"/>
    </row>
    <row r="928" spans="1:39" ht="12.75" customHeight="1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  <c r="AE928" s="172"/>
      <c r="AF928" s="172"/>
      <c r="AG928" s="172"/>
      <c r="AH928" s="172"/>
      <c r="AI928" s="172"/>
      <c r="AJ928" s="172"/>
      <c r="AK928" s="172"/>
      <c r="AL928" s="172"/>
      <c r="AM928" s="172"/>
    </row>
    <row r="929" spans="1:39" ht="12.75" customHeight="1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  <c r="AE929" s="172"/>
      <c r="AF929" s="172"/>
      <c r="AG929" s="172"/>
      <c r="AH929" s="172"/>
      <c r="AI929" s="172"/>
      <c r="AJ929" s="172"/>
      <c r="AK929" s="172"/>
      <c r="AL929" s="172"/>
      <c r="AM929" s="172"/>
    </row>
    <row r="930" spans="1:39" ht="12.75" customHeight="1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  <c r="AE930" s="172"/>
      <c r="AF930" s="172"/>
      <c r="AG930" s="172"/>
      <c r="AH930" s="172"/>
      <c r="AI930" s="172"/>
      <c r="AJ930" s="172"/>
      <c r="AK930" s="172"/>
      <c r="AL930" s="172"/>
      <c r="AM930" s="172"/>
    </row>
    <row r="931" spans="1:39" ht="12.75" customHeight="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  <c r="AE931" s="172"/>
      <c r="AF931" s="172"/>
      <c r="AG931" s="172"/>
      <c r="AH931" s="172"/>
      <c r="AI931" s="172"/>
      <c r="AJ931" s="172"/>
      <c r="AK931" s="172"/>
      <c r="AL931" s="172"/>
      <c r="AM931" s="172"/>
    </row>
    <row r="932" spans="1:39" ht="12.75" customHeight="1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  <c r="AE932" s="172"/>
      <c r="AF932" s="172"/>
      <c r="AG932" s="172"/>
      <c r="AH932" s="172"/>
      <c r="AI932" s="172"/>
      <c r="AJ932" s="172"/>
      <c r="AK932" s="172"/>
      <c r="AL932" s="172"/>
      <c r="AM932" s="172"/>
    </row>
    <row r="933" spans="1:39" ht="12.75" customHeight="1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  <c r="AE933" s="172"/>
      <c r="AF933" s="172"/>
      <c r="AG933" s="172"/>
      <c r="AH933" s="172"/>
      <c r="AI933" s="172"/>
      <c r="AJ933" s="172"/>
      <c r="AK933" s="172"/>
      <c r="AL933" s="172"/>
      <c r="AM933" s="172"/>
    </row>
    <row r="934" spans="1:39" ht="12.75" customHeight="1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  <c r="AE934" s="172"/>
      <c r="AF934" s="172"/>
      <c r="AG934" s="172"/>
      <c r="AH934" s="172"/>
      <c r="AI934" s="172"/>
      <c r="AJ934" s="172"/>
      <c r="AK934" s="172"/>
      <c r="AL934" s="172"/>
      <c r="AM934" s="172"/>
    </row>
    <row r="935" spans="1:39" ht="12.75" customHeight="1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  <c r="AE935" s="172"/>
      <c r="AF935" s="172"/>
      <c r="AG935" s="172"/>
      <c r="AH935" s="172"/>
      <c r="AI935" s="172"/>
      <c r="AJ935" s="172"/>
      <c r="AK935" s="172"/>
      <c r="AL935" s="172"/>
      <c r="AM935" s="172"/>
    </row>
    <row r="936" spans="1:39" ht="12.75" customHeight="1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  <c r="AE936" s="172"/>
      <c r="AF936" s="172"/>
      <c r="AG936" s="172"/>
      <c r="AH936" s="172"/>
      <c r="AI936" s="172"/>
      <c r="AJ936" s="172"/>
      <c r="AK936" s="172"/>
      <c r="AL936" s="172"/>
      <c r="AM936" s="172"/>
    </row>
    <row r="937" spans="1:39" ht="12.75" customHeight="1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  <c r="AE937" s="172"/>
      <c r="AF937" s="172"/>
      <c r="AG937" s="172"/>
      <c r="AH937" s="172"/>
      <c r="AI937" s="172"/>
      <c r="AJ937" s="172"/>
      <c r="AK937" s="172"/>
      <c r="AL937" s="172"/>
      <c r="AM937" s="172"/>
    </row>
    <row r="938" spans="1:39" ht="12.75" customHeight="1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  <c r="AE938" s="172"/>
      <c r="AF938" s="172"/>
      <c r="AG938" s="172"/>
      <c r="AH938" s="172"/>
      <c r="AI938" s="172"/>
      <c r="AJ938" s="172"/>
      <c r="AK938" s="172"/>
      <c r="AL938" s="172"/>
      <c r="AM938" s="172"/>
    </row>
    <row r="939" spans="1:39" ht="12.75" customHeight="1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  <c r="AE939" s="172"/>
      <c r="AF939" s="172"/>
      <c r="AG939" s="172"/>
      <c r="AH939" s="172"/>
      <c r="AI939" s="172"/>
      <c r="AJ939" s="172"/>
      <c r="AK939" s="172"/>
      <c r="AL939" s="172"/>
      <c r="AM939" s="172"/>
    </row>
    <row r="940" spans="1:39" ht="12.75" customHeight="1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  <c r="AE940" s="172"/>
      <c r="AF940" s="172"/>
      <c r="AG940" s="172"/>
      <c r="AH940" s="172"/>
      <c r="AI940" s="172"/>
      <c r="AJ940" s="172"/>
      <c r="AK940" s="172"/>
      <c r="AL940" s="172"/>
      <c r="AM940" s="172"/>
    </row>
    <row r="941" spans="1:39" ht="12.75" customHeight="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  <c r="AE941" s="172"/>
      <c r="AF941" s="172"/>
      <c r="AG941" s="172"/>
      <c r="AH941" s="172"/>
      <c r="AI941" s="172"/>
      <c r="AJ941" s="172"/>
      <c r="AK941" s="172"/>
      <c r="AL941" s="172"/>
      <c r="AM941" s="172"/>
    </row>
    <row r="942" spans="1:39" ht="12.75" customHeight="1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  <c r="AE942" s="172"/>
      <c r="AF942" s="172"/>
      <c r="AG942" s="172"/>
      <c r="AH942" s="172"/>
      <c r="AI942" s="172"/>
      <c r="AJ942" s="172"/>
      <c r="AK942" s="172"/>
      <c r="AL942" s="172"/>
      <c r="AM942" s="172"/>
    </row>
    <row r="943" spans="1:39" ht="12.75" customHeight="1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  <c r="AE943" s="172"/>
      <c r="AF943" s="172"/>
      <c r="AG943" s="172"/>
      <c r="AH943" s="172"/>
      <c r="AI943" s="172"/>
      <c r="AJ943" s="172"/>
      <c r="AK943" s="172"/>
      <c r="AL943" s="172"/>
      <c r="AM943" s="172"/>
    </row>
    <row r="944" spans="1:39" ht="12.75" customHeight="1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  <c r="AE944" s="172"/>
      <c r="AF944" s="172"/>
      <c r="AG944" s="172"/>
      <c r="AH944" s="172"/>
      <c r="AI944" s="172"/>
      <c r="AJ944" s="172"/>
      <c r="AK944" s="172"/>
      <c r="AL944" s="172"/>
      <c r="AM944" s="172"/>
    </row>
    <row r="945" spans="1:39" ht="12.75" customHeight="1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  <c r="AE945" s="172"/>
      <c r="AF945" s="172"/>
      <c r="AG945" s="172"/>
      <c r="AH945" s="172"/>
      <c r="AI945" s="172"/>
      <c r="AJ945" s="172"/>
      <c r="AK945" s="172"/>
      <c r="AL945" s="172"/>
      <c r="AM945" s="172"/>
    </row>
    <row r="946" spans="1:39" ht="12.75" customHeight="1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  <c r="AE946" s="172"/>
      <c r="AF946" s="172"/>
      <c r="AG946" s="172"/>
      <c r="AH946" s="172"/>
      <c r="AI946" s="172"/>
      <c r="AJ946" s="172"/>
      <c r="AK946" s="172"/>
      <c r="AL946" s="172"/>
      <c r="AM946" s="172"/>
    </row>
    <row r="947" spans="1:39" ht="12.75" customHeight="1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  <c r="AE947" s="172"/>
      <c r="AF947" s="172"/>
      <c r="AG947" s="172"/>
      <c r="AH947" s="172"/>
      <c r="AI947" s="172"/>
      <c r="AJ947" s="172"/>
      <c r="AK947" s="172"/>
      <c r="AL947" s="172"/>
      <c r="AM947" s="172"/>
    </row>
    <row r="948" spans="1:39" ht="12.75" customHeight="1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  <c r="AE948" s="172"/>
      <c r="AF948" s="172"/>
      <c r="AG948" s="172"/>
      <c r="AH948" s="172"/>
      <c r="AI948" s="172"/>
      <c r="AJ948" s="172"/>
      <c r="AK948" s="172"/>
      <c r="AL948" s="172"/>
      <c r="AM948" s="172"/>
    </row>
    <row r="949" spans="1:39" ht="12.75" customHeight="1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  <c r="AE949" s="172"/>
      <c r="AF949" s="172"/>
      <c r="AG949" s="172"/>
      <c r="AH949" s="172"/>
      <c r="AI949" s="172"/>
      <c r="AJ949" s="172"/>
      <c r="AK949" s="172"/>
      <c r="AL949" s="172"/>
      <c r="AM949" s="172"/>
    </row>
    <row r="950" spans="1:39" ht="12.75" customHeight="1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  <c r="AE950" s="172"/>
      <c r="AF950" s="172"/>
      <c r="AG950" s="172"/>
      <c r="AH950" s="172"/>
      <c r="AI950" s="172"/>
      <c r="AJ950" s="172"/>
      <c r="AK950" s="172"/>
      <c r="AL950" s="172"/>
      <c r="AM950" s="172"/>
    </row>
    <row r="951" spans="1:39" ht="12.75" customHeight="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  <c r="AE951" s="172"/>
      <c r="AF951" s="172"/>
      <c r="AG951" s="172"/>
      <c r="AH951" s="172"/>
      <c r="AI951" s="172"/>
      <c r="AJ951" s="172"/>
      <c r="AK951" s="172"/>
      <c r="AL951" s="172"/>
      <c r="AM951" s="172"/>
    </row>
    <row r="952" spans="1:39" ht="12.75" customHeight="1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  <c r="AE952" s="172"/>
      <c r="AF952" s="172"/>
      <c r="AG952" s="172"/>
      <c r="AH952" s="172"/>
      <c r="AI952" s="172"/>
      <c r="AJ952" s="172"/>
      <c r="AK952" s="172"/>
      <c r="AL952" s="172"/>
      <c r="AM952" s="172"/>
    </row>
    <row r="953" spans="1:39" ht="12.75" customHeight="1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  <c r="AE953" s="172"/>
      <c r="AF953" s="172"/>
      <c r="AG953" s="172"/>
      <c r="AH953" s="172"/>
      <c r="AI953" s="172"/>
      <c r="AJ953" s="172"/>
      <c r="AK953" s="172"/>
      <c r="AL953" s="172"/>
      <c r="AM953" s="172"/>
    </row>
    <row r="954" spans="1:39" ht="12.75" customHeight="1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  <c r="AE954" s="172"/>
      <c r="AF954" s="172"/>
      <c r="AG954" s="172"/>
      <c r="AH954" s="172"/>
      <c r="AI954" s="172"/>
      <c r="AJ954" s="172"/>
      <c r="AK954" s="172"/>
      <c r="AL954" s="172"/>
      <c r="AM954" s="172"/>
    </row>
    <row r="955" spans="1:39" ht="12.75" customHeight="1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  <c r="AE955" s="172"/>
      <c r="AF955" s="172"/>
      <c r="AG955" s="172"/>
      <c r="AH955" s="172"/>
      <c r="AI955" s="172"/>
      <c r="AJ955" s="172"/>
      <c r="AK955" s="172"/>
      <c r="AL955" s="172"/>
      <c r="AM955" s="172"/>
    </row>
    <row r="956" spans="1:39" ht="12.75" customHeight="1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  <c r="AE956" s="172"/>
      <c r="AF956" s="172"/>
      <c r="AG956" s="172"/>
      <c r="AH956" s="172"/>
      <c r="AI956" s="172"/>
      <c r="AJ956" s="172"/>
      <c r="AK956" s="172"/>
      <c r="AL956" s="172"/>
      <c r="AM956" s="172"/>
    </row>
    <row r="957" spans="1:39" ht="12.75" customHeight="1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  <c r="AE957" s="172"/>
      <c r="AF957" s="172"/>
      <c r="AG957" s="172"/>
      <c r="AH957" s="172"/>
      <c r="AI957" s="172"/>
      <c r="AJ957" s="172"/>
      <c r="AK957" s="172"/>
      <c r="AL957" s="172"/>
      <c r="AM957" s="172"/>
    </row>
    <row r="958" spans="1:39" ht="12.75" customHeight="1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  <c r="AE958" s="172"/>
      <c r="AF958" s="172"/>
      <c r="AG958" s="172"/>
      <c r="AH958" s="172"/>
      <c r="AI958" s="172"/>
      <c r="AJ958" s="172"/>
      <c r="AK958" s="172"/>
      <c r="AL958" s="172"/>
      <c r="AM958" s="172"/>
    </row>
    <row r="959" spans="1:39" ht="12.75" customHeight="1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  <c r="AE959" s="172"/>
      <c r="AF959" s="172"/>
      <c r="AG959" s="172"/>
      <c r="AH959" s="172"/>
      <c r="AI959" s="172"/>
      <c r="AJ959" s="172"/>
      <c r="AK959" s="172"/>
      <c r="AL959" s="172"/>
      <c r="AM959" s="172"/>
    </row>
    <row r="960" spans="1:39" ht="12.75" customHeight="1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  <c r="AE960" s="172"/>
      <c r="AF960" s="172"/>
      <c r="AG960" s="172"/>
      <c r="AH960" s="172"/>
      <c r="AI960" s="172"/>
      <c r="AJ960" s="172"/>
      <c r="AK960" s="172"/>
      <c r="AL960" s="172"/>
      <c r="AM960" s="172"/>
    </row>
    <row r="961" spans="1:39" ht="12.75" customHeight="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  <c r="AE961" s="172"/>
      <c r="AF961" s="172"/>
      <c r="AG961" s="172"/>
      <c r="AH961" s="172"/>
      <c r="AI961" s="172"/>
      <c r="AJ961" s="172"/>
      <c r="AK961" s="172"/>
      <c r="AL961" s="172"/>
      <c r="AM961" s="172"/>
    </row>
    <row r="962" spans="1:39" ht="12.75" customHeight="1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  <c r="AE962" s="172"/>
      <c r="AF962" s="172"/>
      <c r="AG962" s="172"/>
      <c r="AH962" s="172"/>
      <c r="AI962" s="172"/>
      <c r="AJ962" s="172"/>
      <c r="AK962" s="172"/>
      <c r="AL962" s="172"/>
      <c r="AM962" s="172"/>
    </row>
    <row r="963" spans="1:39" ht="12.75" customHeight="1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  <c r="AE963" s="172"/>
      <c r="AF963" s="172"/>
      <c r="AG963" s="172"/>
      <c r="AH963" s="172"/>
      <c r="AI963" s="172"/>
      <c r="AJ963" s="172"/>
      <c r="AK963" s="172"/>
      <c r="AL963" s="172"/>
      <c r="AM963" s="172"/>
    </row>
    <row r="964" spans="1:39" ht="12.75" customHeight="1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  <c r="AE964" s="172"/>
      <c r="AF964" s="172"/>
      <c r="AG964" s="172"/>
      <c r="AH964" s="172"/>
      <c r="AI964" s="172"/>
      <c r="AJ964" s="172"/>
      <c r="AK964" s="172"/>
      <c r="AL964" s="172"/>
      <c r="AM964" s="172"/>
    </row>
    <row r="965" spans="1:39" ht="12.75" customHeight="1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  <c r="AE965" s="172"/>
      <c r="AF965" s="172"/>
      <c r="AG965" s="172"/>
      <c r="AH965" s="172"/>
      <c r="AI965" s="172"/>
      <c r="AJ965" s="172"/>
      <c r="AK965" s="172"/>
      <c r="AL965" s="172"/>
      <c r="AM965" s="172"/>
    </row>
    <row r="966" spans="1:39" ht="12.75" customHeight="1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  <c r="AE966" s="172"/>
      <c r="AF966" s="172"/>
      <c r="AG966" s="172"/>
      <c r="AH966" s="172"/>
      <c r="AI966" s="172"/>
      <c r="AJ966" s="172"/>
      <c r="AK966" s="172"/>
      <c r="AL966" s="172"/>
      <c r="AM966" s="172"/>
    </row>
    <row r="967" spans="1:39" ht="12.75" customHeight="1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  <c r="AE967" s="172"/>
      <c r="AF967" s="172"/>
      <c r="AG967" s="172"/>
      <c r="AH967" s="172"/>
      <c r="AI967" s="172"/>
      <c r="AJ967" s="172"/>
      <c r="AK967" s="172"/>
      <c r="AL967" s="172"/>
      <c r="AM967" s="172"/>
    </row>
    <row r="968" spans="1:39" ht="12.75" customHeight="1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  <c r="AE968" s="172"/>
      <c r="AF968" s="172"/>
      <c r="AG968" s="172"/>
      <c r="AH968" s="172"/>
      <c r="AI968" s="172"/>
      <c r="AJ968" s="172"/>
      <c r="AK968" s="172"/>
      <c r="AL968" s="172"/>
      <c r="AM968" s="172"/>
    </row>
    <row r="969" spans="1:39" ht="12.75" customHeight="1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  <c r="AE969" s="172"/>
      <c r="AF969" s="172"/>
      <c r="AG969" s="172"/>
      <c r="AH969" s="172"/>
      <c r="AI969" s="172"/>
      <c r="AJ969" s="172"/>
      <c r="AK969" s="172"/>
      <c r="AL969" s="172"/>
      <c r="AM969" s="172"/>
    </row>
    <row r="970" spans="1:39" ht="12.75" customHeight="1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  <c r="AE970" s="172"/>
      <c r="AF970" s="172"/>
      <c r="AG970" s="172"/>
      <c r="AH970" s="172"/>
      <c r="AI970" s="172"/>
      <c r="AJ970" s="172"/>
      <c r="AK970" s="172"/>
      <c r="AL970" s="172"/>
      <c r="AM970" s="172"/>
    </row>
    <row r="971" spans="1:39" ht="12.75" customHeight="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  <c r="AE971" s="172"/>
      <c r="AF971" s="172"/>
      <c r="AG971" s="172"/>
      <c r="AH971" s="172"/>
      <c r="AI971" s="172"/>
      <c r="AJ971" s="172"/>
      <c r="AK971" s="172"/>
      <c r="AL971" s="172"/>
      <c r="AM971" s="172"/>
    </row>
    <row r="972" spans="1:39" ht="12.75" customHeight="1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  <c r="AE972" s="172"/>
      <c r="AF972" s="172"/>
      <c r="AG972" s="172"/>
      <c r="AH972" s="172"/>
      <c r="AI972" s="172"/>
      <c r="AJ972" s="172"/>
      <c r="AK972" s="172"/>
      <c r="AL972" s="172"/>
      <c r="AM972" s="172"/>
    </row>
    <row r="973" spans="1:39" ht="12.75" customHeight="1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  <c r="AE973" s="172"/>
      <c r="AF973" s="172"/>
      <c r="AG973" s="172"/>
      <c r="AH973" s="172"/>
      <c r="AI973" s="172"/>
      <c r="AJ973" s="172"/>
      <c r="AK973" s="172"/>
      <c r="AL973" s="172"/>
      <c r="AM973" s="172"/>
    </row>
    <row r="974" spans="1:39" ht="12.75" customHeight="1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  <c r="AE974" s="172"/>
      <c r="AF974" s="172"/>
      <c r="AG974" s="172"/>
      <c r="AH974" s="172"/>
      <c r="AI974" s="172"/>
      <c r="AJ974" s="172"/>
      <c r="AK974" s="172"/>
      <c r="AL974" s="172"/>
      <c r="AM974" s="172"/>
    </row>
    <row r="975" spans="1:39" ht="12.75" customHeight="1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  <c r="AE975" s="172"/>
      <c r="AF975" s="172"/>
      <c r="AG975" s="172"/>
      <c r="AH975" s="172"/>
      <c r="AI975" s="172"/>
      <c r="AJ975" s="172"/>
      <c r="AK975" s="172"/>
      <c r="AL975" s="172"/>
      <c r="AM975" s="172"/>
    </row>
    <row r="976" spans="1:39" ht="12.75" customHeight="1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  <c r="AE976" s="172"/>
      <c r="AF976" s="172"/>
      <c r="AG976" s="172"/>
      <c r="AH976" s="172"/>
      <c r="AI976" s="172"/>
      <c r="AJ976" s="172"/>
      <c r="AK976" s="172"/>
      <c r="AL976" s="172"/>
      <c r="AM976" s="172"/>
    </row>
    <row r="977" spans="1:39" ht="12.75" customHeight="1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  <c r="AE977" s="172"/>
      <c r="AF977" s="172"/>
      <c r="AG977" s="172"/>
      <c r="AH977" s="172"/>
      <c r="AI977" s="172"/>
      <c r="AJ977" s="172"/>
      <c r="AK977" s="172"/>
      <c r="AL977" s="172"/>
      <c r="AM977" s="172"/>
    </row>
    <row r="978" spans="1:39" ht="12.75" customHeight="1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  <c r="AE978" s="172"/>
      <c r="AF978" s="172"/>
      <c r="AG978" s="172"/>
      <c r="AH978" s="172"/>
      <c r="AI978" s="172"/>
      <c r="AJ978" s="172"/>
      <c r="AK978" s="172"/>
      <c r="AL978" s="172"/>
      <c r="AM978" s="172"/>
    </row>
    <row r="979" spans="1:39" ht="12.75" customHeight="1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  <c r="AE979" s="172"/>
      <c r="AF979" s="172"/>
      <c r="AG979" s="172"/>
      <c r="AH979" s="172"/>
      <c r="AI979" s="172"/>
      <c r="AJ979" s="172"/>
      <c r="AK979" s="172"/>
      <c r="AL979" s="172"/>
      <c r="AM979" s="172"/>
    </row>
    <row r="980" spans="1:39" ht="12.75" customHeight="1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  <c r="AE980" s="172"/>
      <c r="AF980" s="172"/>
      <c r="AG980" s="172"/>
      <c r="AH980" s="172"/>
      <c r="AI980" s="172"/>
      <c r="AJ980" s="172"/>
      <c r="AK980" s="172"/>
      <c r="AL980" s="172"/>
      <c r="AM980" s="172"/>
    </row>
    <row r="981" spans="1:39" ht="12.75" customHeight="1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  <c r="AE981" s="172"/>
      <c r="AF981" s="172"/>
      <c r="AG981" s="172"/>
      <c r="AH981" s="172"/>
      <c r="AI981" s="172"/>
      <c r="AJ981" s="172"/>
      <c r="AK981" s="172"/>
      <c r="AL981" s="172"/>
      <c r="AM981" s="172"/>
    </row>
    <row r="982" spans="1:39" ht="12.75" customHeight="1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  <c r="AE982" s="172"/>
      <c r="AF982" s="172"/>
      <c r="AG982" s="172"/>
      <c r="AH982" s="172"/>
      <c r="AI982" s="172"/>
      <c r="AJ982" s="172"/>
      <c r="AK982" s="172"/>
      <c r="AL982" s="172"/>
      <c r="AM982" s="172"/>
    </row>
    <row r="983" spans="1:39" ht="12.75" customHeight="1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  <c r="AE983" s="172"/>
      <c r="AF983" s="172"/>
      <c r="AG983" s="172"/>
      <c r="AH983" s="172"/>
      <c r="AI983" s="172"/>
      <c r="AJ983" s="172"/>
      <c r="AK983" s="172"/>
      <c r="AL983" s="172"/>
      <c r="AM983" s="172"/>
    </row>
    <row r="984" spans="1:39" ht="12.75" customHeight="1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  <c r="AE984" s="172"/>
      <c r="AF984" s="172"/>
      <c r="AG984" s="172"/>
      <c r="AH984" s="172"/>
      <c r="AI984" s="172"/>
      <c r="AJ984" s="172"/>
      <c r="AK984" s="172"/>
      <c r="AL984" s="172"/>
      <c r="AM984" s="172"/>
    </row>
    <row r="985" spans="1:39" ht="12.75" customHeight="1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  <c r="AE985" s="172"/>
      <c r="AF985" s="172"/>
      <c r="AG985" s="172"/>
      <c r="AH985" s="172"/>
      <c r="AI985" s="172"/>
      <c r="AJ985" s="172"/>
      <c r="AK985" s="172"/>
      <c r="AL985" s="172"/>
      <c r="AM985" s="172"/>
    </row>
    <row r="986" spans="1:39" ht="12.75" customHeight="1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  <c r="AE986" s="172"/>
      <c r="AF986" s="172"/>
      <c r="AG986" s="172"/>
      <c r="AH986" s="172"/>
      <c r="AI986" s="172"/>
      <c r="AJ986" s="172"/>
      <c r="AK986" s="172"/>
      <c r="AL986" s="172"/>
      <c r="AM986" s="172"/>
    </row>
    <row r="987" spans="1:39" ht="12.75" customHeight="1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  <c r="AE987" s="172"/>
      <c r="AF987" s="172"/>
      <c r="AG987" s="172"/>
      <c r="AH987" s="172"/>
      <c r="AI987" s="172"/>
      <c r="AJ987" s="172"/>
      <c r="AK987" s="172"/>
      <c r="AL987" s="172"/>
      <c r="AM987" s="172"/>
    </row>
    <row r="988" spans="1:39" ht="12.75" customHeight="1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  <c r="AE988" s="172"/>
      <c r="AF988" s="172"/>
      <c r="AG988" s="172"/>
      <c r="AH988" s="172"/>
      <c r="AI988" s="172"/>
      <c r="AJ988" s="172"/>
      <c r="AK988" s="172"/>
      <c r="AL988" s="172"/>
      <c r="AM988" s="172"/>
    </row>
    <row r="989" spans="1:39" ht="12.75" customHeight="1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  <c r="AE989" s="172"/>
      <c r="AF989" s="172"/>
      <c r="AG989" s="172"/>
      <c r="AH989" s="172"/>
      <c r="AI989" s="172"/>
      <c r="AJ989" s="172"/>
      <c r="AK989" s="172"/>
      <c r="AL989" s="172"/>
      <c r="AM989" s="172"/>
    </row>
    <row r="990" spans="1:39" ht="12.75" customHeight="1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  <c r="AE990" s="172"/>
      <c r="AF990" s="172"/>
      <c r="AG990" s="172"/>
      <c r="AH990" s="172"/>
      <c r="AI990" s="172"/>
      <c r="AJ990" s="172"/>
      <c r="AK990" s="172"/>
      <c r="AL990" s="172"/>
      <c r="AM990" s="172"/>
    </row>
    <row r="991" spans="1:39" ht="12.75" customHeight="1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  <c r="AE991" s="172"/>
      <c r="AF991" s="172"/>
      <c r="AG991" s="172"/>
      <c r="AH991" s="172"/>
      <c r="AI991" s="172"/>
      <c r="AJ991" s="172"/>
      <c r="AK991" s="172"/>
      <c r="AL991" s="172"/>
      <c r="AM991" s="172"/>
    </row>
    <row r="992" spans="1:39" ht="12.75" customHeight="1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2"/>
      <c r="AC992" s="172"/>
      <c r="AD992" s="172"/>
      <c r="AE992" s="172"/>
      <c r="AF992" s="172"/>
      <c r="AG992" s="172"/>
      <c r="AH992" s="172"/>
      <c r="AI992" s="172"/>
      <c r="AJ992" s="172"/>
      <c r="AK992" s="172"/>
      <c r="AL992" s="172"/>
      <c r="AM992" s="172"/>
    </row>
    <row r="993" spans="1:39" ht="12.75" customHeight="1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2"/>
      <c r="AC993" s="172"/>
      <c r="AD993" s="172"/>
      <c r="AE993" s="172"/>
      <c r="AF993" s="172"/>
      <c r="AG993" s="172"/>
      <c r="AH993" s="172"/>
      <c r="AI993" s="172"/>
      <c r="AJ993" s="172"/>
      <c r="AK993" s="172"/>
      <c r="AL993" s="172"/>
      <c r="AM993" s="172"/>
    </row>
    <row r="994" spans="1:39" ht="12.75" customHeight="1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2"/>
      <c r="AC994" s="172"/>
      <c r="AD994" s="172"/>
      <c r="AE994" s="172"/>
      <c r="AF994" s="172"/>
      <c r="AG994" s="172"/>
      <c r="AH994" s="172"/>
      <c r="AI994" s="172"/>
      <c r="AJ994" s="172"/>
      <c r="AK994" s="172"/>
      <c r="AL994" s="172"/>
      <c r="AM994" s="172"/>
    </row>
    <row r="995" spans="1:39" ht="12.75" customHeight="1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2"/>
      <c r="AC995" s="172"/>
      <c r="AD995" s="172"/>
      <c r="AE995" s="172"/>
      <c r="AF995" s="172"/>
      <c r="AG995" s="172"/>
      <c r="AH995" s="172"/>
      <c r="AI995" s="172"/>
      <c r="AJ995" s="172"/>
      <c r="AK995" s="172"/>
      <c r="AL995" s="172"/>
      <c r="AM995" s="172"/>
    </row>
    <row r="996" spans="1:39" ht="12.75" customHeight="1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2"/>
      <c r="AC996" s="172"/>
      <c r="AD996" s="172"/>
      <c r="AE996" s="172"/>
      <c r="AF996" s="172"/>
      <c r="AG996" s="172"/>
      <c r="AH996" s="172"/>
      <c r="AI996" s="172"/>
      <c r="AJ996" s="172"/>
      <c r="AK996" s="172"/>
      <c r="AL996" s="172"/>
      <c r="AM996" s="172"/>
    </row>
    <row r="997" spans="1:39" ht="12.75" customHeight="1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  <c r="AE997" s="172"/>
      <c r="AF997" s="172"/>
      <c r="AG997" s="172"/>
      <c r="AH997" s="172"/>
      <c r="AI997" s="172"/>
      <c r="AJ997" s="172"/>
      <c r="AK997" s="172"/>
      <c r="AL997" s="172"/>
      <c r="AM997" s="172"/>
    </row>
    <row r="998" spans="1:39" ht="12.75" customHeight="1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  <c r="AE998" s="172"/>
      <c r="AF998" s="172"/>
      <c r="AG998" s="172"/>
      <c r="AH998" s="172"/>
      <c r="AI998" s="172"/>
      <c r="AJ998" s="172"/>
      <c r="AK998" s="172"/>
      <c r="AL998" s="172"/>
      <c r="AM998" s="172"/>
    </row>
    <row r="999" spans="1:39" ht="12.75" customHeight="1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  <c r="AE999" s="172"/>
      <c r="AF999" s="172"/>
      <c r="AG999" s="172"/>
      <c r="AH999" s="172"/>
      <c r="AI999" s="172"/>
      <c r="AJ999" s="172"/>
      <c r="AK999" s="172"/>
      <c r="AL999" s="172"/>
      <c r="AM999" s="172"/>
    </row>
    <row r="1000" spans="1:39" ht="12.75" customHeight="1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  <c r="AE1000" s="172"/>
      <c r="AF1000" s="172"/>
      <c r="AG1000" s="172"/>
      <c r="AH1000" s="172"/>
      <c r="AI1000" s="172"/>
      <c r="AJ1000" s="172"/>
      <c r="AK1000" s="172"/>
      <c r="AL1000" s="172"/>
      <c r="AM1000" s="172"/>
    </row>
  </sheetData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43</vt:i4>
      </vt:variant>
    </vt:vector>
  </HeadingPairs>
  <TitlesOfParts>
    <vt:vector size="46" baseType="lpstr">
      <vt:lpstr>배당표 작성 요령</vt:lpstr>
      <vt:lpstr>2026입학생</vt:lpstr>
      <vt:lpstr>데이터베이스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이성호1T</cp:lastModifiedBy>
  <cp:lastPrinted>2026-04-06T05:32:56Z</cp:lastPrinted>
  <dcterms:created xsi:type="dcterms:W3CDTF">2002-10-10T04:04:10Z</dcterms:created>
  <dcterms:modified xsi:type="dcterms:W3CDTF">2026-04-06T05:35:15Z</dcterms:modified>
</cp:coreProperties>
</file>